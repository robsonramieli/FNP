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NP\Documents\Controle FNP 2026\"/>
    </mc:Choice>
  </mc:AlternateContent>
  <xr:revisionPtr revIDLastSave="0" documentId="13_ncr:1_{FC3DF4BC-C0C9-48E6-89C8-FCEDF9C66153}" xr6:coauthVersionLast="46" xr6:coauthVersionMax="47" xr10:uidLastSave="{00000000-0000-0000-0000-000000000000}"/>
  <bookViews>
    <workbookView xWindow="-120" yWindow="-120" windowWidth="29040" windowHeight="15990" activeTab="1" xr2:uid="{114E6039-434D-8A4B-8F31-F4AFCCCA6184}"/>
  </bookViews>
  <sheets>
    <sheet name="Planilha1" sheetId="1" r:id="rId1"/>
    <sheet name="CVM" sheetId="3" r:id="rId2"/>
    <sheet name="Planilha2" sheetId="4" r:id="rId3"/>
  </sheets>
  <definedNames>
    <definedName name="_xlnm._FilterDatabase" localSheetId="1" hidden="1">CVM!$A$21:$A$77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7" i="3" l="1"/>
  <c r="K7" i="3"/>
  <c r="K8" i="3"/>
  <c r="K6" i="3"/>
  <c r="J11" i="3"/>
  <c r="P131" i="3"/>
  <c r="R131" i="3" s="1"/>
  <c r="P124" i="3"/>
  <c r="R124" i="3" s="1"/>
  <c r="P93" i="3"/>
  <c r="P88" i="3"/>
  <c r="P83" i="3"/>
  <c r="I130" i="3"/>
  <c r="B130" i="3"/>
  <c r="J130" i="3" s="1"/>
  <c r="O130" i="3" s="1"/>
  <c r="B129" i="3"/>
  <c r="J129" i="3" s="1"/>
  <c r="I128" i="3"/>
  <c r="H128" i="3"/>
  <c r="F128" i="3"/>
  <c r="E128" i="3"/>
  <c r="D128" i="3"/>
  <c r="C128" i="3"/>
  <c r="B128" i="3"/>
  <c r="I127" i="3"/>
  <c r="H127" i="3"/>
  <c r="C127" i="3"/>
  <c r="I126" i="3"/>
  <c r="H126" i="3"/>
  <c r="F126" i="3"/>
  <c r="E126" i="3"/>
  <c r="D126" i="3"/>
  <c r="C126" i="3"/>
  <c r="I123" i="3"/>
  <c r="B123" i="3"/>
  <c r="J123" i="3" s="1"/>
  <c r="O123" i="3" s="1"/>
  <c r="B122" i="3"/>
  <c r="J122" i="3" s="1"/>
  <c r="I121" i="3"/>
  <c r="H121" i="3"/>
  <c r="C121" i="3"/>
  <c r="I120" i="3"/>
  <c r="H120" i="3"/>
  <c r="F120" i="3"/>
  <c r="E120" i="3"/>
  <c r="D120" i="3"/>
  <c r="C120" i="3"/>
  <c r="I117" i="3"/>
  <c r="B116" i="3"/>
  <c r="J116" i="3" s="1"/>
  <c r="I115" i="3"/>
  <c r="C115" i="3"/>
  <c r="B115" i="3"/>
  <c r="J115" i="3" s="1"/>
  <c r="I114" i="3"/>
  <c r="H114" i="3"/>
  <c r="F114" i="3"/>
  <c r="E114" i="3"/>
  <c r="D114" i="3"/>
  <c r="C114" i="3"/>
  <c r="J110" i="3"/>
  <c r="B110" i="3"/>
  <c r="C109" i="3"/>
  <c r="B109" i="3"/>
  <c r="H108" i="3"/>
  <c r="C108" i="3"/>
  <c r="H107" i="3"/>
  <c r="F107" i="3"/>
  <c r="E107" i="3"/>
  <c r="D107" i="3"/>
  <c r="C107" i="3"/>
  <c r="B104" i="3"/>
  <c r="B103" i="3"/>
  <c r="J103" i="3" s="1"/>
  <c r="H102" i="3"/>
  <c r="F102" i="3"/>
  <c r="E102" i="3"/>
  <c r="D102" i="3"/>
  <c r="C102" i="3"/>
  <c r="B102" i="3"/>
  <c r="H101" i="3"/>
  <c r="F101" i="3"/>
  <c r="E101" i="3"/>
  <c r="D101" i="3"/>
  <c r="C101" i="3"/>
  <c r="B97" i="3"/>
  <c r="B98" i="3"/>
  <c r="C96" i="3"/>
  <c r="F95" i="3"/>
  <c r="E95" i="3"/>
  <c r="D95" i="3"/>
  <c r="C95" i="3"/>
  <c r="C90" i="3"/>
  <c r="B92" i="3"/>
  <c r="O93" i="3"/>
  <c r="Q93" i="3" s="1"/>
  <c r="C91" i="3"/>
  <c r="F90" i="3"/>
  <c r="E90" i="3"/>
  <c r="D90" i="3"/>
  <c r="O88" i="3"/>
  <c r="B87" i="3"/>
  <c r="C85" i="3"/>
  <c r="C86" i="3"/>
  <c r="F85" i="3"/>
  <c r="E85" i="3"/>
  <c r="D85" i="3"/>
  <c r="B73" i="3"/>
  <c r="D18" i="3"/>
  <c r="B68" i="3" s="1"/>
  <c r="C80" i="3"/>
  <c r="B82" i="3"/>
  <c r="J82" i="3" s="1"/>
  <c r="C81" i="3"/>
  <c r="F80" i="3"/>
  <c r="E80" i="3"/>
  <c r="D80" i="3"/>
  <c r="F77" i="3"/>
  <c r="E77" i="3"/>
  <c r="D77" i="3"/>
  <c r="C77" i="3"/>
  <c r="F76" i="3"/>
  <c r="E76" i="3"/>
  <c r="D76" i="3"/>
  <c r="C76" i="3"/>
  <c r="D19" i="3"/>
  <c r="B71" i="3" s="1"/>
  <c r="P77" i="3"/>
  <c r="P76" i="3"/>
  <c r="Q74" i="3"/>
  <c r="Q73" i="3"/>
  <c r="P74" i="3"/>
  <c r="P73" i="3"/>
  <c r="P71" i="3"/>
  <c r="C73" i="3"/>
  <c r="Q77" i="3"/>
  <c r="B74" i="3"/>
  <c r="Q71" i="3"/>
  <c r="C71" i="3"/>
  <c r="Q70" i="3"/>
  <c r="P70" i="3"/>
  <c r="C70" i="3"/>
  <c r="Q68" i="3"/>
  <c r="P68" i="3"/>
  <c r="C68" i="3"/>
  <c r="Q67" i="3"/>
  <c r="P67" i="3"/>
  <c r="C67" i="3"/>
  <c r="Q65" i="3"/>
  <c r="P65" i="3"/>
  <c r="C65" i="3"/>
  <c r="Q64" i="3"/>
  <c r="P64" i="3"/>
  <c r="C64" i="3"/>
  <c r="Q62" i="3"/>
  <c r="Q61" i="3"/>
  <c r="P62" i="3"/>
  <c r="P61" i="3"/>
  <c r="C62" i="3"/>
  <c r="C61" i="3"/>
  <c r="Q23" i="3"/>
  <c r="Q24" i="3"/>
  <c r="Q25" i="3"/>
  <c r="Q27" i="3"/>
  <c r="Q28" i="3"/>
  <c r="Q30" i="3"/>
  <c r="Q31" i="3"/>
  <c r="Q33" i="3"/>
  <c r="Q34" i="3"/>
  <c r="Q36" i="3"/>
  <c r="Q37" i="3"/>
  <c r="Q39" i="3"/>
  <c r="Q40" i="3"/>
  <c r="Q41" i="3"/>
  <c r="Q43" i="3"/>
  <c r="Q44" i="3"/>
  <c r="Q45" i="3"/>
  <c r="Q47" i="3"/>
  <c r="Q48" i="3"/>
  <c r="Q49" i="3"/>
  <c r="Q50" i="3"/>
  <c r="Q51" i="3"/>
  <c r="Q52" i="3"/>
  <c r="Q53" i="3"/>
  <c r="Q54" i="3"/>
  <c r="Q56" i="3"/>
  <c r="Q57" i="3"/>
  <c r="Q59" i="3"/>
  <c r="Q22" i="3"/>
  <c r="F45" i="3"/>
  <c r="E45" i="3"/>
  <c r="D45" i="3"/>
  <c r="C45" i="3"/>
  <c r="F44" i="3"/>
  <c r="E44" i="3"/>
  <c r="D44" i="3"/>
  <c r="C44" i="3"/>
  <c r="H43" i="3"/>
  <c r="F43" i="3"/>
  <c r="E43" i="3"/>
  <c r="C43" i="3"/>
  <c r="B45" i="3"/>
  <c r="B44" i="3"/>
  <c r="F59" i="3"/>
  <c r="E59" i="3"/>
  <c r="D59" i="3"/>
  <c r="C59" i="3"/>
  <c r="F56" i="3"/>
  <c r="E56" i="3"/>
  <c r="D56" i="3"/>
  <c r="C56" i="3"/>
  <c r="P57" i="3"/>
  <c r="F57" i="3"/>
  <c r="E57" i="3"/>
  <c r="D57" i="3"/>
  <c r="C57" i="3"/>
  <c r="F54" i="3"/>
  <c r="E54" i="3"/>
  <c r="D54" i="3"/>
  <c r="P53" i="3"/>
  <c r="F53" i="3"/>
  <c r="E53" i="3"/>
  <c r="D53" i="3"/>
  <c r="F52" i="3"/>
  <c r="E52" i="3"/>
  <c r="D52" i="3"/>
  <c r="P52" i="3"/>
  <c r="F51" i="3"/>
  <c r="E51" i="3"/>
  <c r="D51" i="3"/>
  <c r="F50" i="3"/>
  <c r="E50" i="3"/>
  <c r="D50" i="3"/>
  <c r="H49" i="3"/>
  <c r="F49" i="3"/>
  <c r="E49" i="3"/>
  <c r="D49" i="3"/>
  <c r="C49" i="3"/>
  <c r="P49" i="3"/>
  <c r="H48" i="3"/>
  <c r="F48" i="3"/>
  <c r="E48" i="3"/>
  <c r="D48" i="3"/>
  <c r="C48" i="3"/>
  <c r="F47" i="3"/>
  <c r="E47" i="3"/>
  <c r="D47" i="3"/>
  <c r="H47" i="3"/>
  <c r="C47" i="3"/>
  <c r="P48" i="3"/>
  <c r="P47" i="3"/>
  <c r="H39" i="3"/>
  <c r="F41" i="3"/>
  <c r="F40" i="3"/>
  <c r="F39" i="3"/>
  <c r="E41" i="3"/>
  <c r="E40" i="3"/>
  <c r="E39" i="3"/>
  <c r="D41" i="3"/>
  <c r="D40" i="3"/>
  <c r="C41" i="3"/>
  <c r="C40" i="3"/>
  <c r="C39" i="3"/>
  <c r="F37" i="3"/>
  <c r="F36" i="3"/>
  <c r="E37" i="3"/>
  <c r="E36" i="3"/>
  <c r="D37" i="3"/>
  <c r="D36" i="3"/>
  <c r="C37" i="3"/>
  <c r="C36" i="3"/>
  <c r="F34" i="3"/>
  <c r="F33" i="3"/>
  <c r="E34" i="3"/>
  <c r="E33" i="3"/>
  <c r="D34" i="3"/>
  <c r="D33" i="3"/>
  <c r="C34" i="3"/>
  <c r="C33" i="3"/>
  <c r="F31" i="3"/>
  <c r="F30" i="3"/>
  <c r="E31" i="3"/>
  <c r="E30" i="3"/>
  <c r="D31" i="3"/>
  <c r="D30" i="3"/>
  <c r="C31" i="3"/>
  <c r="C30" i="3"/>
  <c r="F28" i="3"/>
  <c r="F27" i="3"/>
  <c r="E28" i="3"/>
  <c r="E27" i="3"/>
  <c r="D28" i="3"/>
  <c r="D27" i="3"/>
  <c r="C28" i="3"/>
  <c r="C27" i="3"/>
  <c r="H22" i="3"/>
  <c r="F25" i="3"/>
  <c r="F24" i="3"/>
  <c r="F23" i="3"/>
  <c r="F22" i="3"/>
  <c r="E25" i="3"/>
  <c r="E24" i="3"/>
  <c r="E23" i="3"/>
  <c r="E22" i="3"/>
  <c r="D25" i="3"/>
  <c r="D24" i="3"/>
  <c r="D23" i="3"/>
  <c r="D22" i="3"/>
  <c r="D39" i="3" s="1"/>
  <c r="J92" i="3"/>
  <c r="J87" i="3"/>
  <c r="E20" i="1"/>
  <c r="P45" i="3"/>
  <c r="P44" i="3"/>
  <c r="P43" i="3"/>
  <c r="P59" i="3"/>
  <c r="P56" i="3"/>
  <c r="P54" i="3"/>
  <c r="P51" i="3"/>
  <c r="P50" i="3"/>
  <c r="P41" i="3"/>
  <c r="P40" i="3"/>
  <c r="P39" i="3"/>
  <c r="P37" i="3"/>
  <c r="P36" i="3"/>
  <c r="P34" i="3"/>
  <c r="P33" i="3"/>
  <c r="P31" i="3"/>
  <c r="P30" i="3"/>
  <c r="P28" i="3"/>
  <c r="P27" i="3"/>
  <c r="P23" i="3"/>
  <c r="P24" i="3"/>
  <c r="P25" i="3"/>
  <c r="P22" i="3"/>
  <c r="D17" i="3"/>
  <c r="B34" i="3" s="1"/>
  <c r="L8" i="4"/>
  <c r="L6" i="4"/>
  <c r="L3" i="4"/>
  <c r="L4" i="4"/>
  <c r="L5" i="4"/>
  <c r="L2" i="4"/>
  <c r="J7" i="4"/>
  <c r="J6" i="4"/>
  <c r="J3" i="4"/>
  <c r="J4" i="4"/>
  <c r="J5" i="4"/>
  <c r="J2" i="4"/>
  <c r="H3" i="4"/>
  <c r="H4" i="4"/>
  <c r="H5" i="4"/>
  <c r="H2" i="4"/>
  <c r="G4" i="4"/>
  <c r="G3" i="4"/>
  <c r="F5" i="4"/>
  <c r="F3" i="4"/>
  <c r="E4" i="4"/>
  <c r="D4" i="4"/>
  <c r="C4" i="4"/>
  <c r="B2" i="4"/>
  <c r="D16" i="3"/>
  <c r="B31" i="3" s="1"/>
  <c r="Q76" i="3"/>
  <c r="J117" i="3" l="1"/>
  <c r="O118" i="3" s="1"/>
  <c r="P118" i="3" s="1"/>
  <c r="Q131" i="3"/>
  <c r="Q124" i="3"/>
  <c r="L129" i="3"/>
  <c r="L122" i="3"/>
  <c r="L116" i="3"/>
  <c r="N115" i="3"/>
  <c r="L115" i="3"/>
  <c r="B111" i="3"/>
  <c r="L110" i="3"/>
  <c r="L103" i="3"/>
  <c r="R88" i="3"/>
  <c r="Q88" i="3"/>
  <c r="H90" i="3"/>
  <c r="H91" i="3"/>
  <c r="H85" i="3"/>
  <c r="H86" i="3"/>
  <c r="O83" i="3"/>
  <c r="Q83" i="3" s="1"/>
  <c r="M8" i="3"/>
  <c r="B67" i="3"/>
  <c r="B70" i="3"/>
  <c r="H76" i="3"/>
  <c r="H70" i="3"/>
  <c r="H67" i="3"/>
  <c r="H64" i="3"/>
  <c r="H61" i="3"/>
  <c r="H44" i="3"/>
  <c r="D43" i="3"/>
  <c r="H45" i="3"/>
  <c r="H56" i="3"/>
  <c r="H53" i="3"/>
  <c r="H54" i="3"/>
  <c r="H51" i="3"/>
  <c r="H50" i="3"/>
  <c r="H52" i="3"/>
  <c r="H33" i="3"/>
  <c r="H36" i="3"/>
  <c r="H40" i="3"/>
  <c r="H41" i="3"/>
  <c r="B33" i="3"/>
  <c r="H23" i="3"/>
  <c r="J97" i="3"/>
  <c r="B30" i="3"/>
  <c r="H30" i="3"/>
  <c r="H27" i="3"/>
  <c r="H25" i="3"/>
  <c r="H24" i="3"/>
  <c r="O131" i="3"/>
  <c r="R93" i="3"/>
  <c r="L92" i="3"/>
  <c r="L87" i="3"/>
  <c r="L82" i="3"/>
  <c r="J36" i="1"/>
  <c r="E36" i="1"/>
  <c r="G57" i="1"/>
  <c r="F57" i="1"/>
  <c r="E57" i="1"/>
  <c r="F85" i="1"/>
  <c r="G87" i="1"/>
  <c r="F69" i="1"/>
  <c r="E69" i="1"/>
  <c r="D15" i="3"/>
  <c r="D14" i="3"/>
  <c r="B76" i="3" s="1"/>
  <c r="D13" i="3"/>
  <c r="D12" i="3"/>
  <c r="L11" i="3"/>
  <c r="D11" i="3"/>
  <c r="D10" i="3"/>
  <c r="B27" i="3" s="1"/>
  <c r="D9" i="3"/>
  <c r="B41" i="3" s="1"/>
  <c r="D8" i="3"/>
  <c r="D7" i="3"/>
  <c r="D6" i="3"/>
  <c r="E37" i="1"/>
  <c r="E35" i="1"/>
  <c r="E34" i="1"/>
  <c r="E33" i="1"/>
  <c r="E58" i="1"/>
  <c r="I63" i="1"/>
  <c r="I58" i="1"/>
  <c r="I56" i="1"/>
  <c r="I55" i="1"/>
  <c r="I54" i="1"/>
  <c r="I48" i="1"/>
  <c r="I47" i="1"/>
  <c r="I46" i="1"/>
  <c r="I45" i="1"/>
  <c r="I44" i="1"/>
  <c r="I43" i="1"/>
  <c r="I41" i="1"/>
  <c r="I39" i="1"/>
  <c r="I37" i="1"/>
  <c r="I36" i="1"/>
  <c r="I35" i="1"/>
  <c r="I34" i="1"/>
  <c r="D63" i="1"/>
  <c r="E29" i="1"/>
  <c r="C63" i="1"/>
  <c r="G33" i="1"/>
  <c r="G63" i="1"/>
  <c r="D62" i="1"/>
  <c r="D61" i="1"/>
  <c r="D60" i="1"/>
  <c r="D59" i="1"/>
  <c r="D58" i="1"/>
  <c r="D47" i="1"/>
  <c r="D48" i="1"/>
  <c r="D46" i="1"/>
  <c r="D41" i="1"/>
  <c r="D39" i="1"/>
  <c r="D44" i="1"/>
  <c r="D43" i="1"/>
  <c r="E55" i="1"/>
  <c r="D56" i="1"/>
  <c r="D55" i="1"/>
  <c r="C55" i="1"/>
  <c r="C56" i="1"/>
  <c r="G54" i="1"/>
  <c r="F54" i="1"/>
  <c r="D54" i="1"/>
  <c r="E30" i="1"/>
  <c r="C54" i="1"/>
  <c r="D45" i="1"/>
  <c r="G34" i="1"/>
  <c r="G44" i="1"/>
  <c r="G55" i="1"/>
  <c r="I53" i="1"/>
  <c r="D53" i="1"/>
  <c r="E63" i="1"/>
  <c r="E28" i="1"/>
  <c r="C53" i="1"/>
  <c r="I52" i="1"/>
  <c r="D52" i="1"/>
  <c r="E27" i="1"/>
  <c r="C52" i="1"/>
  <c r="I51" i="1"/>
  <c r="D51" i="1"/>
  <c r="J50" i="1"/>
  <c r="I50" i="1"/>
  <c r="D50" i="1"/>
  <c r="I49" i="1"/>
  <c r="D49" i="1"/>
  <c r="H66" i="1"/>
  <c r="H65" i="1"/>
  <c r="M25" i="1"/>
  <c r="E22" i="1"/>
  <c r="F34" i="1"/>
  <c r="F44" i="1"/>
  <c r="F55" i="1"/>
  <c r="H57" i="1"/>
  <c r="C62" i="1"/>
  <c r="C60" i="1"/>
  <c r="E43" i="1"/>
  <c r="F33" i="1"/>
  <c r="F63" i="1"/>
  <c r="K63" i="1"/>
  <c r="G43" i="1"/>
  <c r="F35" i="1"/>
  <c r="G35" i="1"/>
  <c r="F37" i="1"/>
  <c r="F36" i="1"/>
  <c r="G37" i="1"/>
  <c r="G36" i="1"/>
  <c r="E24" i="1"/>
  <c r="C74" i="1"/>
  <c r="E39" i="1"/>
  <c r="F39" i="1"/>
  <c r="G39" i="1"/>
  <c r="E25" i="1"/>
  <c r="E41" i="1"/>
  <c r="F41" i="1"/>
  <c r="G41" i="1"/>
  <c r="E26" i="1"/>
  <c r="C58" i="1"/>
  <c r="F58" i="1"/>
  <c r="G58" i="1"/>
  <c r="E21" i="1"/>
  <c r="C61" i="1"/>
  <c r="E23" i="1"/>
  <c r="E15" i="1"/>
  <c r="J4" i="1"/>
  <c r="C73" i="1"/>
  <c r="C57" i="1"/>
  <c r="H54" i="1"/>
  <c r="F73" i="1"/>
  <c r="K73" i="1"/>
  <c r="F75" i="1"/>
  <c r="K75" i="1"/>
  <c r="C69" i="1"/>
  <c r="K69" i="1"/>
  <c r="F74" i="1"/>
  <c r="C41" i="1"/>
  <c r="C75" i="1"/>
  <c r="M63" i="1"/>
  <c r="O63" i="1"/>
  <c r="E54" i="1"/>
  <c r="E45" i="1"/>
  <c r="E56" i="1"/>
  <c r="C43" i="1"/>
  <c r="C45" i="1"/>
  <c r="C44" i="1"/>
  <c r="G45" i="1"/>
  <c r="G56" i="1"/>
  <c r="F43" i="1"/>
  <c r="F45" i="1"/>
  <c r="F56" i="1"/>
  <c r="F53" i="1"/>
  <c r="G53" i="1"/>
  <c r="E53" i="1"/>
  <c r="C66" i="1"/>
  <c r="K66" i="1"/>
  <c r="M66" i="1"/>
  <c r="C39" i="1"/>
  <c r="H35" i="1"/>
  <c r="H45" i="1"/>
  <c r="H56" i="1"/>
  <c r="H34" i="1"/>
  <c r="H44" i="1"/>
  <c r="H55" i="1"/>
  <c r="K55" i="1"/>
  <c r="M55" i="1"/>
  <c r="C35" i="1"/>
  <c r="C34" i="1"/>
  <c r="F52" i="1"/>
  <c r="G52" i="1"/>
  <c r="E50" i="1"/>
  <c r="H37" i="1"/>
  <c r="H36" i="1"/>
  <c r="F47" i="1"/>
  <c r="F46" i="1"/>
  <c r="F50" i="1"/>
  <c r="F51" i="1"/>
  <c r="C50" i="1"/>
  <c r="G50" i="1"/>
  <c r="C51" i="1"/>
  <c r="G51" i="1"/>
  <c r="E51" i="1"/>
  <c r="E49" i="1"/>
  <c r="F49" i="1"/>
  <c r="G48" i="1"/>
  <c r="C49" i="1"/>
  <c r="G49" i="1"/>
  <c r="E46" i="1"/>
  <c r="G47" i="1"/>
  <c r="G46" i="1"/>
  <c r="C59" i="1"/>
  <c r="H47" i="1"/>
  <c r="H41" i="1"/>
  <c r="H33" i="1"/>
  <c r="H43" i="1"/>
  <c r="C37" i="1"/>
  <c r="C36" i="1"/>
  <c r="K36" i="1"/>
  <c r="M36" i="1"/>
  <c r="I4" i="1"/>
  <c r="H58" i="1"/>
  <c r="H39" i="1"/>
  <c r="L4" i="1"/>
  <c r="C33" i="1"/>
  <c r="H4" i="1"/>
  <c r="N4" i="1"/>
  <c r="H48" i="1"/>
  <c r="H46" i="1"/>
  <c r="C65" i="1"/>
  <c r="K65" i="1"/>
  <c r="M4" i="1"/>
  <c r="C67" i="1"/>
  <c r="K67" i="1"/>
  <c r="K62" i="1"/>
  <c r="K4" i="1"/>
  <c r="K61" i="1"/>
  <c r="F48" i="1"/>
  <c r="E47" i="1"/>
  <c r="K60" i="1"/>
  <c r="E48" i="1"/>
  <c r="K57" i="1"/>
  <c r="M57" i="1"/>
  <c r="K54" i="1"/>
  <c r="M54" i="1"/>
  <c r="O73" i="1"/>
  <c r="M73" i="1"/>
  <c r="K74" i="1"/>
  <c r="O69" i="1"/>
  <c r="M69" i="1"/>
  <c r="O75" i="1"/>
  <c r="M75" i="1"/>
  <c r="K56" i="1"/>
  <c r="M56" i="1"/>
  <c r="K43" i="1"/>
  <c r="O43" i="1"/>
  <c r="K45" i="1"/>
  <c r="K44" i="1"/>
  <c r="K34" i="1"/>
  <c r="M34" i="1"/>
  <c r="O66" i="1"/>
  <c r="H52" i="1"/>
  <c r="K52" i="1"/>
  <c r="H53" i="1"/>
  <c r="K53" i="1"/>
  <c r="C47" i="1"/>
  <c r="K47" i="1"/>
  <c r="M62" i="1"/>
  <c r="O62" i="1"/>
  <c r="M65" i="1"/>
  <c r="O65" i="1"/>
  <c r="M60" i="1"/>
  <c r="O60" i="1"/>
  <c r="M61" i="1"/>
  <c r="O61" i="1"/>
  <c r="M67" i="1"/>
  <c r="O67" i="1"/>
  <c r="K35" i="1"/>
  <c r="C48" i="1"/>
  <c r="K48" i="1"/>
  <c r="K41" i="1"/>
  <c r="H49" i="1"/>
  <c r="K49" i="1"/>
  <c r="H51" i="1"/>
  <c r="K51" i="1"/>
  <c r="H50" i="1"/>
  <c r="K50" i="1"/>
  <c r="K59" i="1"/>
  <c r="C46" i="1"/>
  <c r="K46" i="1"/>
  <c r="K39" i="1"/>
  <c r="K37" i="1"/>
  <c r="K58" i="1"/>
  <c r="K33" i="1"/>
  <c r="O74" i="1"/>
  <c r="M74" i="1"/>
  <c r="M43" i="1"/>
  <c r="O34" i="1"/>
  <c r="M44" i="1"/>
  <c r="O44" i="1"/>
  <c r="O45" i="1"/>
  <c r="M45" i="1"/>
  <c r="M53" i="1"/>
  <c r="O53" i="1"/>
  <c r="M59" i="1"/>
  <c r="O59" i="1"/>
  <c r="M58" i="1"/>
  <c r="O58" i="1"/>
  <c r="M47" i="1"/>
  <c r="O47" i="1"/>
  <c r="M35" i="1"/>
  <c r="O35" i="1"/>
  <c r="M48" i="1"/>
  <c r="O48" i="1"/>
  <c r="M37" i="1"/>
  <c r="O37" i="1"/>
  <c r="M49" i="1"/>
  <c r="O49" i="1"/>
  <c r="M41" i="1"/>
  <c r="O41" i="1"/>
  <c r="M33" i="1"/>
  <c r="O33" i="1"/>
  <c r="M39" i="1"/>
  <c r="O39" i="1"/>
  <c r="M50" i="1"/>
  <c r="O50" i="1"/>
  <c r="M46" i="1"/>
  <c r="O46" i="1"/>
  <c r="M51" i="1"/>
  <c r="O51" i="1"/>
  <c r="M52" i="1"/>
  <c r="O52" i="1"/>
  <c r="M82" i="1"/>
  <c r="M20" i="1"/>
  <c r="B95" i="3" l="1"/>
  <c r="B120" i="3"/>
  <c r="B101" i="3"/>
  <c r="B126" i="3"/>
  <c r="B114" i="3"/>
  <c r="B107" i="3"/>
  <c r="B108" i="3"/>
  <c r="G107" i="3"/>
  <c r="G101" i="3"/>
  <c r="G128" i="3"/>
  <c r="J128" i="3" s="1"/>
  <c r="B121" i="3"/>
  <c r="J121" i="3" s="1"/>
  <c r="G114" i="3"/>
  <c r="G102" i="3"/>
  <c r="G126" i="3"/>
  <c r="J126" i="3" s="1"/>
  <c r="G53" i="3"/>
  <c r="B127" i="3"/>
  <c r="J127" i="3" s="1"/>
  <c r="G54" i="3"/>
  <c r="G120" i="3"/>
  <c r="J120" i="3" s="1"/>
  <c r="R118" i="3"/>
  <c r="Q118" i="3"/>
  <c r="H95" i="3"/>
  <c r="H80" i="3"/>
  <c r="H96" i="3"/>
  <c r="B96" i="3"/>
  <c r="G95" i="3"/>
  <c r="B91" i="3"/>
  <c r="G90" i="3"/>
  <c r="B85" i="3"/>
  <c r="B90" i="3"/>
  <c r="B86" i="3"/>
  <c r="G85" i="3"/>
  <c r="B81" i="3"/>
  <c r="G80" i="3"/>
  <c r="B22" i="3"/>
  <c r="B50" i="3" s="1"/>
  <c r="B80" i="3"/>
  <c r="H77" i="3"/>
  <c r="H81" i="3"/>
  <c r="B43" i="3"/>
  <c r="B77" i="3"/>
  <c r="H68" i="3"/>
  <c r="H71" i="3"/>
  <c r="H62" i="3"/>
  <c r="H65" i="3"/>
  <c r="B65" i="3"/>
  <c r="B64" i="3"/>
  <c r="B61" i="3"/>
  <c r="B62" i="3"/>
  <c r="G45" i="3"/>
  <c r="G44" i="3"/>
  <c r="G43" i="3"/>
  <c r="G59" i="3"/>
  <c r="G56" i="3"/>
  <c r="G57" i="3"/>
  <c r="B56" i="3"/>
  <c r="B57" i="3"/>
  <c r="H59" i="3"/>
  <c r="H57" i="3"/>
  <c r="B59" i="3"/>
  <c r="G52" i="3"/>
  <c r="G50" i="3"/>
  <c r="G51" i="3"/>
  <c r="G47" i="3"/>
  <c r="G49" i="3"/>
  <c r="G48" i="3"/>
  <c r="L97" i="3"/>
  <c r="B37" i="3"/>
  <c r="B36" i="3"/>
  <c r="G36" i="3"/>
  <c r="G34" i="3"/>
  <c r="G33" i="3"/>
  <c r="G41" i="3"/>
  <c r="G40" i="3"/>
  <c r="G39" i="3"/>
  <c r="G37" i="3"/>
  <c r="H37" i="3"/>
  <c r="H34" i="3"/>
  <c r="B40" i="3"/>
  <c r="B39" i="3"/>
  <c r="G30" i="3"/>
  <c r="G22" i="3"/>
  <c r="G28" i="3"/>
  <c r="G25" i="3"/>
  <c r="G27" i="3"/>
  <c r="G24" i="3"/>
  <c r="G31" i="3"/>
  <c r="G23" i="3"/>
  <c r="B25" i="3"/>
  <c r="B24" i="3"/>
  <c r="B23" i="3"/>
  <c r="H28" i="3"/>
  <c r="H31" i="3"/>
  <c r="B28" i="3"/>
  <c r="R83" i="3"/>
  <c r="J114" i="3" l="1"/>
  <c r="N114" i="3" s="1"/>
  <c r="N118" i="3" s="1"/>
  <c r="N126" i="3"/>
  <c r="L126" i="3"/>
  <c r="L121" i="3"/>
  <c r="N121" i="3"/>
  <c r="N120" i="3"/>
  <c r="N124" i="3" s="1"/>
  <c r="L120" i="3"/>
  <c r="N128" i="3"/>
  <c r="L128" i="3"/>
  <c r="N127" i="3"/>
  <c r="L127" i="3"/>
  <c r="B51" i="3"/>
  <c r="J51" i="3" s="1"/>
  <c r="L51" i="3" s="1"/>
  <c r="B52" i="3"/>
  <c r="B53" i="3"/>
  <c r="B54" i="3"/>
  <c r="J54" i="3" s="1"/>
  <c r="N54" i="3" s="1"/>
  <c r="B48" i="3"/>
  <c r="J48" i="3" s="1"/>
  <c r="L48" i="3" s="1"/>
  <c r="B49" i="3"/>
  <c r="B47" i="3"/>
  <c r="I59" i="3"/>
  <c r="J59" i="3" s="1"/>
  <c r="I40" i="3"/>
  <c r="J40" i="3" s="1"/>
  <c r="I81" i="3"/>
  <c r="J81" i="3"/>
  <c r="L81" i="3" s="1"/>
  <c r="I74" i="3"/>
  <c r="J74" i="3" s="1"/>
  <c r="I67" i="3"/>
  <c r="J67" i="3"/>
  <c r="N67" i="3" s="1"/>
  <c r="I41" i="3"/>
  <c r="J41" i="3" s="1"/>
  <c r="I77" i="3"/>
  <c r="J77" i="3"/>
  <c r="L77" i="3" s="1"/>
  <c r="J23" i="3"/>
  <c r="L23" i="3" s="1"/>
  <c r="I44" i="3"/>
  <c r="J44" i="3" s="1"/>
  <c r="I34" i="3"/>
  <c r="J34" i="3"/>
  <c r="N34" i="3" s="1"/>
  <c r="I56" i="3"/>
  <c r="J56" i="3" s="1"/>
  <c r="I91" i="3"/>
  <c r="J91" i="3"/>
  <c r="L91" i="3" s="1"/>
  <c r="I49" i="3"/>
  <c r="I54" i="3"/>
  <c r="I76" i="3"/>
  <c r="J76" i="3" s="1"/>
  <c r="I85" i="3"/>
  <c r="J85" i="3"/>
  <c r="L85" i="3" s="1"/>
  <c r="I28" i="3"/>
  <c r="J28" i="3" s="1"/>
  <c r="I102" i="3"/>
  <c r="J102" i="3"/>
  <c r="N102" i="3" s="1"/>
  <c r="I33" i="3"/>
  <c r="J33" i="3" s="1"/>
  <c r="I104" i="3"/>
  <c r="J104" i="3"/>
  <c r="O105" i="3" s="1"/>
  <c r="P105" i="3" s="1"/>
  <c r="I39" i="3"/>
  <c r="J39" i="3"/>
  <c r="N39" i="3" s="1"/>
  <c r="I23" i="3"/>
  <c r="I50" i="3"/>
  <c r="J50" i="3"/>
  <c r="N50" i="3" s="1"/>
  <c r="I109" i="3"/>
  <c r="J109" i="3" s="1"/>
  <c r="I95" i="3"/>
  <c r="J95" i="3"/>
  <c r="L95" i="3" s="1"/>
  <c r="I73" i="3"/>
  <c r="J73" i="3" s="1"/>
  <c r="I65" i="3"/>
  <c r="J65" i="3"/>
  <c r="L65" i="3" s="1"/>
  <c r="I62" i="3"/>
  <c r="J62" i="3"/>
  <c r="L62" i="3" s="1"/>
  <c r="I98" i="3"/>
  <c r="J98" i="3" s="1"/>
  <c r="O99" i="3" s="1"/>
  <c r="P99" i="3" s="1"/>
  <c r="R99" i="3" s="1"/>
  <c r="I37" i="3"/>
  <c r="J37" i="3"/>
  <c r="N37" i="3" s="1"/>
  <c r="I71" i="3"/>
  <c r="J71" i="3"/>
  <c r="I30" i="3"/>
  <c r="J30" i="3"/>
  <c r="N30" i="3" s="1"/>
  <c r="I43" i="3"/>
  <c r="J43" i="3" s="1"/>
  <c r="I24" i="3"/>
  <c r="J24" i="3"/>
  <c r="N24" i="3" s="1"/>
  <c r="I96" i="3"/>
  <c r="J96" i="3" s="1"/>
  <c r="I27" i="3"/>
  <c r="J27" i="3"/>
  <c r="L27" i="3" s="1"/>
  <c r="I57" i="3"/>
  <c r="J57" i="3" s="1"/>
  <c r="I51" i="3"/>
  <c r="I80" i="3"/>
  <c r="J80" i="3"/>
  <c r="N80" i="3" s="1"/>
  <c r="I107" i="3"/>
  <c r="J107" i="3" s="1"/>
  <c r="I70" i="3"/>
  <c r="J70" i="3"/>
  <c r="N70" i="3" s="1"/>
  <c r="I86" i="3"/>
  <c r="J86" i="3" s="1"/>
  <c r="I61" i="3"/>
  <c r="J61" i="3"/>
  <c r="L61" i="3" s="1"/>
  <c r="I52" i="3"/>
  <c r="J52" i="3" s="1"/>
  <c r="I45" i="3"/>
  <c r="J45" i="3"/>
  <c r="N45" i="3" s="1"/>
  <c r="J25" i="3"/>
  <c r="N25" i="3" s="1"/>
  <c r="I36" i="3"/>
  <c r="J36" i="3" s="1"/>
  <c r="I90" i="3"/>
  <c r="J90" i="3"/>
  <c r="L90" i="3" s="1"/>
  <c r="I108" i="3"/>
  <c r="J108" i="3" s="1"/>
  <c r="I64" i="3"/>
  <c r="J64" i="3"/>
  <c r="L64" i="3" s="1"/>
  <c r="I53" i="3"/>
  <c r="I111" i="3"/>
  <c r="J111" i="3" s="1"/>
  <c r="O111" i="3" s="1"/>
  <c r="O112" i="3" s="1"/>
  <c r="P112" i="3" s="1"/>
  <c r="J22" i="3"/>
  <c r="N22" i="3" s="1"/>
  <c r="I31" i="3"/>
  <c r="J31" i="3"/>
  <c r="L31" i="3" s="1"/>
  <c r="I25" i="3"/>
  <c r="O124" i="3" s="1"/>
  <c r="I48" i="3"/>
  <c r="I47" i="3"/>
  <c r="J47" i="3" s="1"/>
  <c r="I101" i="3"/>
  <c r="J101" i="3"/>
  <c r="N101" i="3" s="1"/>
  <c r="I68" i="3"/>
  <c r="J68" i="3" s="1"/>
  <c r="L101" i="3" l="1"/>
  <c r="J49" i="3"/>
  <c r="J53" i="3"/>
  <c r="L53" i="3" s="1"/>
  <c r="N105" i="3"/>
  <c r="L114" i="3"/>
  <c r="N71" i="3"/>
  <c r="L71" i="3"/>
  <c r="N64" i="3"/>
  <c r="N61" i="3"/>
  <c r="L24" i="3"/>
  <c r="L45" i="3"/>
  <c r="N27" i="3"/>
  <c r="L39" i="3"/>
  <c r="L80" i="3"/>
  <c r="N90" i="3"/>
  <c r="N48" i="3"/>
  <c r="N51" i="3"/>
  <c r="N131" i="3"/>
  <c r="L70" i="3"/>
  <c r="R112" i="3"/>
  <c r="Q112" i="3"/>
  <c r="L30" i="3"/>
  <c r="N57" i="3"/>
  <c r="L57" i="3"/>
  <c r="L44" i="3"/>
  <c r="N44" i="3"/>
  <c r="N108" i="3"/>
  <c r="L108" i="3"/>
  <c r="N43" i="3"/>
  <c r="L43" i="3"/>
  <c r="L33" i="3"/>
  <c r="N33" i="3"/>
  <c r="L76" i="3"/>
  <c r="N76" i="3"/>
  <c r="N47" i="3"/>
  <c r="L47" i="3"/>
  <c r="N49" i="3"/>
  <c r="L49" i="3"/>
  <c r="N40" i="3"/>
  <c r="L40" i="3"/>
  <c r="N52" i="3"/>
  <c r="L52" i="3"/>
  <c r="Q99" i="3"/>
  <c r="L59" i="3"/>
  <c r="N59" i="3"/>
  <c r="R105" i="3"/>
  <c r="Q105" i="3"/>
  <c r="L96" i="3"/>
  <c r="N96" i="3"/>
  <c r="N73" i="3"/>
  <c r="L73" i="3"/>
  <c r="N28" i="3"/>
  <c r="L28" i="3"/>
  <c r="N41" i="3"/>
  <c r="L41" i="3"/>
  <c r="N109" i="3"/>
  <c r="L109" i="3"/>
  <c r="L74" i="3"/>
  <c r="N74" i="3"/>
  <c r="N86" i="3"/>
  <c r="L86" i="3"/>
  <c r="L68" i="3"/>
  <c r="N68" i="3"/>
  <c r="N53" i="3"/>
  <c r="L36" i="3"/>
  <c r="N36" i="3"/>
  <c r="N107" i="3"/>
  <c r="L107" i="3"/>
  <c r="L56" i="3"/>
  <c r="N56" i="3"/>
  <c r="L22" i="3"/>
  <c r="N31" i="3"/>
  <c r="L37" i="3"/>
  <c r="N62" i="3"/>
  <c r="N65" i="3"/>
  <c r="N95" i="3"/>
  <c r="L50" i="3"/>
  <c r="L102" i="3"/>
  <c r="N85" i="3"/>
  <c r="L54" i="3"/>
  <c r="N91" i="3"/>
  <c r="N93" i="3" s="1"/>
  <c r="L34" i="3"/>
  <c r="N23" i="3"/>
  <c r="L25" i="3"/>
  <c r="N77" i="3"/>
  <c r="L67" i="3"/>
  <c r="N81" i="3"/>
  <c r="N83" i="3" s="1"/>
  <c r="N112" i="3" l="1"/>
  <c r="L8" i="3"/>
  <c r="B6" i="1" s="1"/>
  <c r="B8" i="1" s="1"/>
  <c r="K3" i="1" s="1"/>
  <c r="K5" i="1" s="1"/>
  <c r="N99" i="3"/>
  <c r="N88" i="3"/>
  <c r="N3" i="1" l="1"/>
  <c r="N5" i="1" s="1"/>
  <c r="N6" i="1" s="1"/>
  <c r="J3" i="1"/>
  <c r="J5" i="1" s="1"/>
  <c r="J6" i="1" s="1"/>
  <c r="H3" i="1"/>
  <c r="H5" i="1" s="1"/>
  <c r="H8" i="1" s="1"/>
  <c r="I3" i="1"/>
  <c r="I5" i="1" s="1"/>
  <c r="I8" i="1" s="1"/>
  <c r="E17" i="1"/>
  <c r="M3" i="1"/>
  <c r="M5" i="1" s="1"/>
  <c r="M8" i="1" s="1"/>
  <c r="L3" i="1"/>
  <c r="L5" i="1" s="1"/>
  <c r="L6" i="1" s="1"/>
  <c r="K6" i="1"/>
  <c r="K8" i="1"/>
  <c r="H6" i="1" l="1"/>
  <c r="M6" i="1"/>
  <c r="J8" i="1"/>
  <c r="N8" i="1"/>
  <c r="L8" i="1"/>
  <c r="I6" i="1"/>
</calcChain>
</file>

<file path=xl/sharedStrings.xml><?xml version="1.0" encoding="utf-8"?>
<sst xmlns="http://schemas.openxmlformats.org/spreadsheetml/2006/main" count="341" uniqueCount="202">
  <si>
    <t>Projeção resultado</t>
  </si>
  <si>
    <t>Impostos *</t>
  </si>
  <si>
    <t>Aluguel</t>
  </si>
  <si>
    <t>Faturamento</t>
  </si>
  <si>
    <t>Royalties</t>
  </si>
  <si>
    <t>Água e luz</t>
  </si>
  <si>
    <t>Variáveis</t>
  </si>
  <si>
    <t>Fundo Pub. E Prog</t>
  </si>
  <si>
    <t>Telefone</t>
  </si>
  <si>
    <t>Fixos</t>
  </si>
  <si>
    <t>Taxas cartões **</t>
  </si>
  <si>
    <t>Internet</t>
  </si>
  <si>
    <t>Resultado</t>
  </si>
  <si>
    <t>Resultado (%)</t>
  </si>
  <si>
    <t>Custos com pessoal ***</t>
  </si>
  <si>
    <t>Total</t>
  </si>
  <si>
    <t>Payback Simples (meses)</t>
  </si>
  <si>
    <t>* - depende da faixa de faturamento</t>
  </si>
  <si>
    <t>Contador</t>
  </si>
  <si>
    <t>**- depende da proporção de vendas em dinheiro/cartões</t>
  </si>
  <si>
    <t>*** Tudo (salários, encargos, provisão férias e décimo..)</t>
  </si>
  <si>
    <t>Total**</t>
  </si>
  <si>
    <t>Investimento total</t>
  </si>
  <si>
    <t>Ponto de Equilíbrio</t>
  </si>
  <si>
    <t>EMBALAGEM</t>
  </si>
  <si>
    <t>PRODUTO</t>
  </si>
  <si>
    <t>PERDA</t>
  </si>
  <si>
    <t>CUSTO FINAL</t>
  </si>
  <si>
    <t>COMPRA</t>
  </si>
  <si>
    <t>BATATA FRITA</t>
  </si>
  <si>
    <t>OVO</t>
  </si>
  <si>
    <t>POLENTA</t>
  </si>
  <si>
    <t>FARINHA TRIGO</t>
  </si>
  <si>
    <t>FRANGO</t>
  </si>
  <si>
    <t>FARINHA ROSCA</t>
  </si>
  <si>
    <t>COXINHA</t>
  </si>
  <si>
    <t>ALCATRA</t>
  </si>
  <si>
    <t>CORAÇÃO</t>
  </si>
  <si>
    <t>QUANTIDADE</t>
  </si>
  <si>
    <t>FARINHA T</t>
  </si>
  <si>
    <t>FARINHA R</t>
  </si>
  <si>
    <t>ACOMP</t>
  </si>
  <si>
    <t>MOLHOS</t>
  </si>
  <si>
    <t>PARDO</t>
  </si>
  <si>
    <t>CUSTO PRODUTO</t>
  </si>
  <si>
    <t>P</t>
  </si>
  <si>
    <t>M</t>
  </si>
  <si>
    <t>G</t>
  </si>
  <si>
    <t>KIDS</t>
  </si>
  <si>
    <t>MISTO FRANGO+ALC</t>
  </si>
  <si>
    <t>MISTO FRANGO+COR</t>
  </si>
  <si>
    <t>MISTAO</t>
  </si>
  <si>
    <t>CUSTO COMPRA (preço por kg)</t>
  </si>
  <si>
    <t>PREÇO DE VENDA</t>
  </si>
  <si>
    <t>OLEO ALGODAO</t>
  </si>
  <si>
    <t>mkt (trafego, anuncios)</t>
  </si>
  <si>
    <t>Jornais, revistas, radio</t>
  </si>
  <si>
    <t>COUVE FLOR</t>
  </si>
  <si>
    <t>H2O GAS</t>
  </si>
  <si>
    <t>ANEIS DE CEBOLA</t>
  </si>
  <si>
    <t>MINI CHURROS</t>
  </si>
  <si>
    <t>COCA 600ML</t>
  </si>
  <si>
    <t>COCA LATA</t>
  </si>
  <si>
    <t>COCA 2L</t>
  </si>
  <si>
    <t>VALOR GASTO</t>
  </si>
  <si>
    <t>PEDIDOS NO MÊS</t>
  </si>
  <si>
    <t>CUSTO POR POTE</t>
  </si>
  <si>
    <t>BURGER FRANGO</t>
  </si>
  <si>
    <t>BURGER ALCATRA</t>
  </si>
  <si>
    <t>BURGER CORACAO</t>
  </si>
  <si>
    <t>PAO BRIOCHE</t>
  </si>
  <si>
    <t>QUEIJO</t>
  </si>
  <si>
    <t>PAO</t>
  </si>
  <si>
    <t>MISTINHO FRANGO + ALCA</t>
  </si>
  <si>
    <t>MISTINHO FRANGO + CORACAO</t>
  </si>
  <si>
    <t>MISTINHO CORACAO+ALCA</t>
  </si>
  <si>
    <t>FILÉ SUINO</t>
  </si>
  <si>
    <t>LINGUICA ESPECIAL</t>
  </si>
  <si>
    <t>PREÇO IDEAL VENDA</t>
  </si>
  <si>
    <t>Manut/rep loucas e utensílios</t>
  </si>
  <si>
    <t xml:space="preserve">Seguros,  conta banco e TEF </t>
  </si>
  <si>
    <t>Oleo de algodao</t>
  </si>
  <si>
    <t>considerando 16 uni/kg</t>
  </si>
  <si>
    <t>CMV</t>
  </si>
  <si>
    <t>CMV IDEAL</t>
  </si>
  <si>
    <t>Custos FIXO 1</t>
  </si>
  <si>
    <t>Custos VARIAVEIS/ FIXO 2</t>
  </si>
  <si>
    <t>Mat  escritório e limpeza</t>
  </si>
  <si>
    <t>ANEIS DE CEBOLA (400g)</t>
  </si>
  <si>
    <t>Sistema (anove, mr chef)</t>
  </si>
  <si>
    <t>TULIPA</t>
  </si>
  <si>
    <t>TULIPA (P)</t>
  </si>
  <si>
    <t>TULIPA (M)</t>
  </si>
  <si>
    <t>TULIPA (G)</t>
  </si>
  <si>
    <t>conaiderando 22 un/kg</t>
  </si>
  <si>
    <t>QUEIJO COALHO</t>
  </si>
  <si>
    <t>SUINO</t>
  </si>
  <si>
    <t>arrancada motoboy</t>
  </si>
  <si>
    <t>PRATO FEITO</t>
  </si>
  <si>
    <t>CORACÁO</t>
  </si>
  <si>
    <t>PROTEINA</t>
  </si>
  <si>
    <t>ARROZ (ARREDONDANDO)</t>
  </si>
  <si>
    <t>SALADA</t>
  </si>
  <si>
    <t xml:space="preserve">EMBALAGEM </t>
  </si>
  <si>
    <t>PREÇO IDEAL</t>
  </si>
  <si>
    <t>PREÇO VENDA</t>
  </si>
  <si>
    <t>CMV GLOBAL</t>
  </si>
  <si>
    <t>CMV MEDIO</t>
  </si>
  <si>
    <t>CMV(preencher pelo medio)</t>
  </si>
  <si>
    <t>BACON</t>
  </si>
  <si>
    <t>CHEDAAR</t>
  </si>
  <si>
    <t>CHEDDAR BISNAGA</t>
  </si>
  <si>
    <t>bisnaga 1,1kg</t>
  </si>
  <si>
    <t>fatiado</t>
  </si>
  <si>
    <t xml:space="preserve">BATATA FRITA </t>
  </si>
  <si>
    <t xml:space="preserve">400g </t>
  </si>
  <si>
    <t xml:space="preserve">BACON </t>
  </si>
  <si>
    <t>50g</t>
  </si>
  <si>
    <t>100g</t>
  </si>
  <si>
    <t>VALOR SUGERIDO VENDA</t>
  </si>
  <si>
    <t xml:space="preserve">CMV </t>
  </si>
  <si>
    <t>total</t>
  </si>
  <si>
    <t>CHEDDAR</t>
  </si>
  <si>
    <t>BATATA COM CHEDDAR</t>
  </si>
  <si>
    <t>BATATA COM BACON/ CHEDDAR</t>
  </si>
  <si>
    <t>COMBO KIDS</t>
  </si>
  <si>
    <t>INDIVIDUAL</t>
  </si>
  <si>
    <t>COPO COLECIONAVEL</t>
  </si>
  <si>
    <t>SUCO KAPO</t>
  </si>
  <si>
    <t>suco kapo 2,5</t>
  </si>
  <si>
    <t>#</t>
  </si>
  <si>
    <t>TILAPIA</t>
  </si>
  <si>
    <t>Kids</t>
  </si>
  <si>
    <t>Terça</t>
  </si>
  <si>
    <t>Quarta</t>
  </si>
  <si>
    <t>Quinta</t>
  </si>
  <si>
    <t>Sexta</t>
  </si>
  <si>
    <t>Sabado</t>
  </si>
  <si>
    <t>Domingo</t>
  </si>
  <si>
    <t>FNP DELIVERY - Marau</t>
  </si>
  <si>
    <t>PANGA</t>
  </si>
  <si>
    <t>MISTOS</t>
  </si>
  <si>
    <t>SUÍNO</t>
  </si>
  <si>
    <t>Variação</t>
  </si>
  <si>
    <t>P.V. Pes.</t>
  </si>
  <si>
    <t>MINI CHURROS KIDS</t>
  </si>
  <si>
    <t>FRANGO P</t>
  </si>
  <si>
    <t>FRANGO M</t>
  </si>
  <si>
    <t>FRANGO G</t>
  </si>
  <si>
    <t>FRANGO KIDS</t>
  </si>
  <si>
    <t>ALCATRA P</t>
  </si>
  <si>
    <t>ALCATRA KIDS</t>
  </si>
  <si>
    <t>TILAPIA P</t>
  </si>
  <si>
    <t>TILAPIA KIDS</t>
  </si>
  <si>
    <t>PANGA P</t>
  </si>
  <si>
    <t>PANGA KIDS</t>
  </si>
  <si>
    <t>CORAÇÃO P</t>
  </si>
  <si>
    <t>CORAÇÃO KIDS</t>
  </si>
  <si>
    <t>COXINHA P</t>
  </si>
  <si>
    <t>COXINHA M</t>
  </si>
  <si>
    <t>COXINHA G</t>
  </si>
  <si>
    <t>FILÉ SUINO P</t>
  </si>
  <si>
    <t>LINGUICA ESPECIAL KIDS</t>
  </si>
  <si>
    <t>TULIPA P</t>
  </si>
  <si>
    <t>TULIPA M</t>
  </si>
  <si>
    <t>TULIPA G</t>
  </si>
  <si>
    <t>PREÇO VENDA 2026</t>
  </si>
  <si>
    <t>MISTINHO FRANGO - ALCATRA</t>
  </si>
  <si>
    <t>MISTINHO FRANGO - CORACAO</t>
  </si>
  <si>
    <t>MISTINHO FRANGO - SUÍNO</t>
  </si>
  <si>
    <t>MISTO FRANGO - ALCATRA</t>
  </si>
  <si>
    <t>MISTO FRANGO - CORAÇÃO</t>
  </si>
  <si>
    <t>MISTO FRANGO - SUÍNO</t>
  </si>
  <si>
    <t>MISTAO FRANGO - ALC - COR</t>
  </si>
  <si>
    <t>LINGUIÇA PARRILHA</t>
  </si>
  <si>
    <t>FILÉ SUINO KIDS</t>
  </si>
  <si>
    <t>LINGUICA PARRILHA</t>
  </si>
  <si>
    <t>BATATA FRITA P</t>
  </si>
  <si>
    <t>BATATA FRITA KIDS</t>
  </si>
  <si>
    <t>POLENTA P</t>
  </si>
  <si>
    <t>POLENTA KIDS</t>
  </si>
  <si>
    <t>ANÉIS DE CEBOLA P</t>
  </si>
  <si>
    <t>ANÉIS DE CEBOLA KIDS</t>
  </si>
  <si>
    <t>AIPIM</t>
  </si>
  <si>
    <t>AIPIM P</t>
  </si>
  <si>
    <t>AIPIM KIDS</t>
  </si>
  <si>
    <t>QUEIJO COALHO P</t>
  </si>
  <si>
    <t>QUEIJO COALHO KIDS</t>
  </si>
  <si>
    <t>MINI CHURROS MINI</t>
  </si>
  <si>
    <t>COMBO CASAL (2P)</t>
  </si>
  <si>
    <t>COMBO FAMILIA (3P)</t>
  </si>
  <si>
    <t>ANEIS DE CEBOLA MINI</t>
  </si>
  <si>
    <t>COMBO SEXTA (4P)</t>
  </si>
  <si>
    <t>COMBO GALERA (4P)</t>
  </si>
  <si>
    <t>Desc. 8%</t>
  </si>
  <si>
    <t>COMBO TERÇA (2P 1/5C)</t>
  </si>
  <si>
    <t>COMBO SABADO (4/5P)</t>
  </si>
  <si>
    <t>COMBO QUINTA (4/5P)</t>
  </si>
  <si>
    <t>COMBO QUARTA (4/5P)</t>
  </si>
  <si>
    <t>COMBO DOMINGO (6/7P)</t>
  </si>
  <si>
    <t>MISTAOZINHO FR - ALC - COR</t>
  </si>
  <si>
    <t>ANEIS DE AIPIM 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</si>
</sst>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%"/>
    <numFmt numFmtId="165" formatCode="&quot;R$&quot;\ #,##0.00"/>
    <numFmt numFmtId="166" formatCode="0.00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5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3" fillId="0" borderId="1" xfId="0" applyFont="1" applyBorder="1"/>
    <xf numFmtId="164" fontId="3" fillId="0" borderId="1" xfId="0" applyNumberFormat="1" applyFont="1" applyBorder="1"/>
    <xf numFmtId="9" fontId="0" fillId="0" borderId="0" xfId="0" applyNumberFormat="1"/>
    <xf numFmtId="4" fontId="3" fillId="0" borderId="1" xfId="0" applyNumberFormat="1" applyFont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3" borderId="0" xfId="0" applyFont="1" applyFill="1"/>
    <xf numFmtId="0" fontId="2" fillId="3" borderId="1" xfId="0" applyFont="1" applyFill="1" applyBorder="1"/>
    <xf numFmtId="0" fontId="4" fillId="3" borderId="0" xfId="0" applyFont="1" applyFill="1" applyAlignment="1">
      <alignment horizontal="center"/>
    </xf>
    <xf numFmtId="9" fontId="0" fillId="0" borderId="1" xfId="0" applyNumberFormat="1" applyBorder="1"/>
    <xf numFmtId="44" fontId="0" fillId="0" borderId="1" xfId="0" applyNumberFormat="1" applyBorder="1"/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4" borderId="1" xfId="0" applyNumberFormat="1" applyFill="1" applyBorder="1"/>
    <xf numFmtId="4" fontId="0" fillId="4" borderId="1" xfId="0" applyNumberFormat="1" applyFill="1" applyBorder="1"/>
    <xf numFmtId="9" fontId="0" fillId="4" borderId="1" xfId="0" applyNumberFormat="1" applyFill="1" applyBorder="1"/>
    <xf numFmtId="44" fontId="0" fillId="4" borderId="1" xfId="0" applyNumberFormat="1" applyFill="1" applyBorder="1"/>
    <xf numFmtId="4" fontId="0" fillId="0" borderId="1" xfId="0" applyNumberFormat="1" applyBorder="1"/>
    <xf numFmtId="10" fontId="3" fillId="6" borderId="1" xfId="1" applyNumberFormat="1" applyFont="1" applyFill="1" applyBorder="1"/>
    <xf numFmtId="2" fontId="0" fillId="0" borderId="1" xfId="0" applyNumberFormat="1" applyBorder="1"/>
    <xf numFmtId="164" fontId="0" fillId="5" borderId="1" xfId="0" applyNumberFormat="1" applyFill="1" applyBorder="1"/>
    <xf numFmtId="44" fontId="0" fillId="0" borderId="0" xfId="0" applyNumberFormat="1"/>
    <xf numFmtId="0" fontId="0" fillId="0" borderId="3" xfId="0" applyBorder="1"/>
    <xf numFmtId="0" fontId="0" fillId="0" borderId="4" xfId="0" applyBorder="1"/>
    <xf numFmtId="44" fontId="0" fillId="4" borderId="3" xfId="0" applyNumberFormat="1" applyFill="1" applyBorder="1"/>
    <xf numFmtId="2" fontId="0" fillId="0" borderId="0" xfId="0" applyNumberFormat="1"/>
    <xf numFmtId="0" fontId="4" fillId="7" borderId="1" xfId="0" applyFont="1" applyFill="1" applyBorder="1"/>
    <xf numFmtId="2" fontId="2" fillId="7" borderId="1" xfId="0" applyNumberFormat="1" applyFont="1" applyFill="1" applyBorder="1"/>
    <xf numFmtId="0" fontId="2" fillId="7" borderId="1" xfId="0" applyFont="1" applyFill="1" applyBorder="1"/>
    <xf numFmtId="0" fontId="0" fillId="4" borderId="1" xfId="0" applyFill="1" applyBorder="1" applyAlignment="1">
      <alignment horizontal="center" vertical="center"/>
    </xf>
    <xf numFmtId="44" fontId="0" fillId="8" borderId="1" xfId="0" applyNumberFormat="1" applyFill="1" applyBorder="1"/>
    <xf numFmtId="0" fontId="0" fillId="0" borderId="1" xfId="0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4" fontId="0" fillId="9" borderId="1" xfId="0" applyNumberFormat="1" applyFill="1" applyBorder="1"/>
    <xf numFmtId="0" fontId="0" fillId="0" borderId="8" xfId="0" applyBorder="1"/>
    <xf numFmtId="2" fontId="0" fillId="0" borderId="9" xfId="0" applyNumberFormat="1" applyBorder="1"/>
    <xf numFmtId="0" fontId="0" fillId="0" borderId="10" xfId="0" applyBorder="1"/>
    <xf numFmtId="44" fontId="0" fillId="0" borderId="11" xfId="0" applyNumberFormat="1" applyBorder="1"/>
    <xf numFmtId="0" fontId="0" fillId="0" borderId="11" xfId="0" applyBorder="1"/>
    <xf numFmtId="2" fontId="0" fillId="0" borderId="11" xfId="0" applyNumberFormat="1" applyBorder="1"/>
    <xf numFmtId="2" fontId="0" fillId="0" borderId="12" xfId="0" applyNumberFormat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44" fontId="0" fillId="8" borderId="0" xfId="0" applyNumberFormat="1" applyFill="1"/>
    <xf numFmtId="44" fontId="0" fillId="8" borderId="11" xfId="0" applyNumberFormat="1" applyFill="1" applyBorder="1"/>
    <xf numFmtId="2" fontId="0" fillId="5" borderId="0" xfId="1" applyNumberFormat="1" applyFont="1" applyFill="1" applyAlignment="1">
      <alignment horizontal="center"/>
    </xf>
    <xf numFmtId="44" fontId="0" fillId="4" borderId="0" xfId="0" applyNumberFormat="1" applyFill="1"/>
    <xf numFmtId="44" fontId="0" fillId="0" borderId="3" xfId="0" applyNumberFormat="1" applyBorder="1"/>
    <xf numFmtId="2" fontId="0" fillId="0" borderId="3" xfId="0" applyNumberFormat="1" applyBorder="1"/>
    <xf numFmtId="44" fontId="0" fillId="8" borderId="3" xfId="0" applyNumberFormat="1" applyFill="1" applyBorder="1"/>
    <xf numFmtId="165" fontId="0" fillId="0" borderId="0" xfId="0" applyNumberFormat="1"/>
    <xf numFmtId="0" fontId="0" fillId="0" borderId="0" xfId="0" applyAlignment="1">
      <alignment horizontal="center"/>
    </xf>
    <xf numFmtId="165" fontId="0" fillId="8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165" fontId="0" fillId="11" borderId="0" xfId="0" applyNumberFormat="1" applyFill="1"/>
    <xf numFmtId="0" fontId="0" fillId="11" borderId="1" xfId="0" applyFill="1" applyBorder="1" applyAlignment="1">
      <alignment horizontal="center" vertical="center"/>
    </xf>
    <xf numFmtId="165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0" xfId="0" applyFill="1" applyAlignment="1">
      <alignment horizontal="center" vertical="center"/>
    </xf>
    <xf numFmtId="0" fontId="0" fillId="12" borderId="1" xfId="0" applyFill="1" applyBorder="1"/>
    <xf numFmtId="0" fontId="0" fillId="12" borderId="4" xfId="0" applyFill="1" applyBorder="1"/>
    <xf numFmtId="44" fontId="0" fillId="12" borderId="1" xfId="0" applyNumberFormat="1" applyFill="1" applyBorder="1"/>
    <xf numFmtId="44" fontId="0" fillId="0" borderId="1" xfId="2" applyFont="1" applyBorder="1"/>
    <xf numFmtId="0" fontId="3" fillId="12" borderId="1" xfId="0" applyFont="1" applyFill="1" applyBorder="1"/>
    <xf numFmtId="0" fontId="3" fillId="12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2" fontId="3" fillId="0" borderId="0" xfId="0" applyNumberFormat="1" applyFont="1" applyAlignment="1">
      <alignment horizontal="center"/>
    </xf>
    <xf numFmtId="9" fontId="0" fillId="12" borderId="1" xfId="1" applyFont="1" applyFill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44" fontId="0" fillId="13" borderId="1" xfId="0" applyNumberFormat="1" applyFill="1" applyBorder="1"/>
    <xf numFmtId="0" fontId="3" fillId="0" borderId="0" xfId="0" applyFont="1" applyAlignment="1">
      <alignment horizontal="center"/>
    </xf>
    <xf numFmtId="0" fontId="0" fillId="14" borderId="1" xfId="0" applyFill="1" applyBorder="1" applyAlignment="1">
      <alignment horizontal="center"/>
    </xf>
    <xf numFmtId="10" fontId="0" fillId="12" borderId="1" xfId="1" applyNumberFormat="1" applyFont="1" applyFill="1" applyBorder="1"/>
    <xf numFmtId="0" fontId="0" fillId="0" borderId="1" xfId="0" applyBorder="1" applyAlignment="1">
      <alignment horizontal="left"/>
    </xf>
    <xf numFmtId="0" fontId="0" fillId="11" borderId="1" xfId="0" applyFill="1" applyBorder="1" applyAlignment="1">
      <alignment horizontal="left"/>
    </xf>
    <xf numFmtId="44" fontId="2" fillId="15" borderId="1" xfId="0" applyNumberFormat="1" applyFont="1" applyFill="1" applyBorder="1"/>
    <xf numFmtId="44" fontId="3" fillId="0" borderId="1" xfId="0" applyNumberFormat="1" applyFont="1" applyBorder="1"/>
    <xf numFmtId="166" fontId="0" fillId="0" borderId="0" xfId="0" applyNumberFormat="1"/>
    <xf numFmtId="2" fontId="3" fillId="0" borderId="0" xfId="0" applyNumberFormat="1" applyFont="1"/>
    <xf numFmtId="44" fontId="2" fillId="0" borderId="1" xfId="0" applyNumberFormat="1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3" borderId="1" xfId="0" applyFont="1" applyFill="1" applyBorder="1"/>
    <xf numFmtId="10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/>
    </xf>
    <xf numFmtId="2" fontId="3" fillId="16" borderId="1" xfId="0" applyNumberFormat="1" applyFont="1" applyFill="1" applyBorder="1" applyAlignment="1">
      <alignment horizontal="center"/>
    </xf>
    <xf numFmtId="10" fontId="0" fillId="5" borderId="0" xfId="1" applyNumberFormat="1" applyFont="1" applyFill="1" applyAlignment="1">
      <alignment horizontal="center"/>
    </xf>
    <xf numFmtId="10" fontId="0" fillId="5" borderId="1" xfId="1" applyNumberFormat="1" applyFont="1" applyFill="1" applyBorder="1"/>
    <xf numFmtId="9" fontId="0" fillId="0" borderId="1" xfId="0" applyNumberForma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4" fontId="0" fillId="4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5" fillId="12" borderId="0" xfId="0" applyFont="1" applyFill="1" applyAlignment="1">
      <alignment horizontal="center" vertical="center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D7BE-6C40-B742-AAE3-63227ACD5B14}">
  <sheetPr codeName="Planilha1"/>
  <dimension ref="A1:O87"/>
  <sheetViews>
    <sheetView zoomScale="85" zoomScaleNormal="85" workbookViewId="0">
      <selection activeCell="B6" sqref="B6"/>
    </sheetView>
  </sheetViews>
  <sheetFormatPr defaultColWidth="10.875" defaultRowHeight="15.75" x14ac:dyDescent="0.25"/>
  <cols>
    <col min="1" max="1" width="24" customWidth="1"/>
    <col min="2" max="2" width="27.375" customWidth="1"/>
    <col min="3" max="3" width="17.875" customWidth="1"/>
    <col min="4" max="4" width="25.125" customWidth="1"/>
    <col min="5" max="5" width="17.625" customWidth="1"/>
    <col min="6" max="6" width="15.125" customWidth="1"/>
    <col min="7" max="7" width="21.75" customWidth="1"/>
    <col min="8" max="8" width="12.5" customWidth="1"/>
    <col min="9" max="9" width="12.875" customWidth="1"/>
    <col min="10" max="10" width="15.75" customWidth="1"/>
    <col min="11" max="11" width="19.125" customWidth="1"/>
    <col min="12" max="12" width="19.625" customWidth="1"/>
    <col min="13" max="13" width="18.125" customWidth="1"/>
    <col min="14" max="14" width="18" customWidth="1"/>
    <col min="15" max="15" width="17.375" customWidth="1"/>
    <col min="16" max="16" width="13.75" customWidth="1"/>
  </cols>
  <sheetData>
    <row r="1" spans="1:14" x14ac:dyDescent="0.25">
      <c r="A1" s="101" t="s">
        <v>85</v>
      </c>
      <c r="B1" s="101"/>
      <c r="D1" s="101" t="s">
        <v>86</v>
      </c>
      <c r="E1" s="101"/>
      <c r="G1" s="101" t="s">
        <v>0</v>
      </c>
      <c r="H1" s="101"/>
      <c r="I1" s="101"/>
      <c r="J1" s="101"/>
      <c r="K1" s="101"/>
      <c r="L1" s="101"/>
    </row>
    <row r="2" spans="1:14" x14ac:dyDescent="0.25">
      <c r="A2" s="1" t="s">
        <v>1</v>
      </c>
      <c r="B2" s="18"/>
      <c r="D2" s="1" t="s">
        <v>2</v>
      </c>
      <c r="E2" s="19"/>
      <c r="F2" s="2"/>
      <c r="G2" s="3" t="s">
        <v>3</v>
      </c>
      <c r="H2" s="19">
        <v>60000</v>
      </c>
      <c r="I2" s="19">
        <v>80000</v>
      </c>
      <c r="J2" s="19">
        <v>100000</v>
      </c>
      <c r="K2" s="19">
        <v>120000</v>
      </c>
      <c r="L2" s="19">
        <v>140000</v>
      </c>
      <c r="M2" s="19">
        <v>160000</v>
      </c>
      <c r="N2" s="19">
        <v>180000</v>
      </c>
    </row>
    <row r="3" spans="1:14" x14ac:dyDescent="0.25">
      <c r="A3" s="1" t="s">
        <v>4</v>
      </c>
      <c r="B3" s="25">
        <v>0.02</v>
      </c>
      <c r="D3" s="1" t="s">
        <v>5</v>
      </c>
      <c r="E3" s="19"/>
      <c r="G3" s="1" t="s">
        <v>6</v>
      </c>
      <c r="H3" s="22">
        <f t="shared" ref="H3:N3" si="0">H2*$B8</f>
        <v>22490.150742563244</v>
      </c>
      <c r="I3" s="22">
        <f t="shared" si="0"/>
        <v>29986.86765675099</v>
      </c>
      <c r="J3" s="22">
        <f t="shared" si="0"/>
        <v>37483.584570938736</v>
      </c>
      <c r="K3" s="22">
        <f t="shared" si="0"/>
        <v>44980.301485126489</v>
      </c>
      <c r="L3" s="22">
        <f t="shared" si="0"/>
        <v>52477.018399314235</v>
      </c>
      <c r="M3" s="22">
        <f t="shared" si="0"/>
        <v>59973.73531350198</v>
      </c>
      <c r="N3" s="22">
        <f t="shared" si="0"/>
        <v>67470.452227689733</v>
      </c>
    </row>
    <row r="4" spans="1:14" x14ac:dyDescent="0.25">
      <c r="A4" s="1" t="s">
        <v>7</v>
      </c>
      <c r="B4" s="25">
        <v>5.0000000000000001E-3</v>
      </c>
      <c r="D4" s="1" t="s">
        <v>8</v>
      </c>
      <c r="E4" s="19"/>
      <c r="G4" s="1" t="s">
        <v>9</v>
      </c>
      <c r="H4" s="22">
        <f>$E15</f>
        <v>0</v>
      </c>
      <c r="I4" s="22">
        <f>$E15</f>
        <v>0</v>
      </c>
      <c r="J4" s="22">
        <f>$E15</f>
        <v>0</v>
      </c>
      <c r="K4" s="22">
        <f>$E15</f>
        <v>0</v>
      </c>
      <c r="L4" s="22">
        <f>$E15</f>
        <v>0</v>
      </c>
      <c r="M4" s="22">
        <f t="shared" ref="M4:N4" si="1">$E15</f>
        <v>0</v>
      </c>
      <c r="N4" s="22">
        <f t="shared" si="1"/>
        <v>0</v>
      </c>
    </row>
    <row r="5" spans="1:14" x14ac:dyDescent="0.25">
      <c r="A5" s="1" t="s">
        <v>10</v>
      </c>
      <c r="B5" s="18"/>
      <c r="D5" s="1" t="s">
        <v>11</v>
      </c>
      <c r="E5" s="19"/>
      <c r="G5" s="1" t="s">
        <v>12</v>
      </c>
      <c r="H5" s="22">
        <f>H2-H3-H4</f>
        <v>37509.849257436756</v>
      </c>
      <c r="I5" s="22">
        <f t="shared" ref="I5:N5" si="2">I2-I3-I4</f>
        <v>50013.13234324901</v>
      </c>
      <c r="J5" s="22">
        <f t="shared" si="2"/>
        <v>62516.415429061264</v>
      </c>
      <c r="K5" s="22">
        <f t="shared" si="2"/>
        <v>75019.698514873511</v>
      </c>
      <c r="L5" s="22">
        <f t="shared" si="2"/>
        <v>87522.981600685773</v>
      </c>
      <c r="M5" s="22">
        <f t="shared" si="2"/>
        <v>100026.26468649802</v>
      </c>
      <c r="N5" s="22">
        <f t="shared" si="2"/>
        <v>112529.54777231027</v>
      </c>
    </row>
    <row r="6" spans="1:14" x14ac:dyDescent="0.25">
      <c r="A6" s="1" t="s">
        <v>83</v>
      </c>
      <c r="B6" s="97">
        <f>CVM!L8</f>
        <v>0.34983584570938736</v>
      </c>
      <c r="D6" s="1" t="s">
        <v>89</v>
      </c>
      <c r="E6" s="19"/>
      <c r="G6" s="1" t="s">
        <v>13</v>
      </c>
      <c r="H6" s="23">
        <f>H5/H2</f>
        <v>0.62516415429061256</v>
      </c>
      <c r="I6" s="23">
        <f t="shared" ref="I6:N6" si="3">I5/I2</f>
        <v>0.62516415429061267</v>
      </c>
      <c r="J6" s="23">
        <f t="shared" si="3"/>
        <v>0.62516415429061267</v>
      </c>
      <c r="K6" s="23">
        <f t="shared" si="3"/>
        <v>0.62516415429061256</v>
      </c>
      <c r="L6" s="23">
        <f t="shared" si="3"/>
        <v>0.62516415429061267</v>
      </c>
      <c r="M6" s="23">
        <f t="shared" si="3"/>
        <v>0.62516415429061267</v>
      </c>
      <c r="N6" s="23">
        <f t="shared" si="3"/>
        <v>0.62516415429061256</v>
      </c>
    </row>
    <row r="7" spans="1:14" x14ac:dyDescent="0.25">
      <c r="A7" s="1" t="s">
        <v>14</v>
      </c>
      <c r="B7" s="20"/>
      <c r="D7" s="1" t="s">
        <v>56</v>
      </c>
      <c r="E7" s="19"/>
    </row>
    <row r="8" spans="1:14" x14ac:dyDescent="0.25">
      <c r="A8" s="4" t="s">
        <v>15</v>
      </c>
      <c r="B8" s="5">
        <f>SUM(B2:B7)</f>
        <v>0.37483584570938738</v>
      </c>
      <c r="D8" s="1" t="s">
        <v>87</v>
      </c>
      <c r="E8" s="19"/>
      <c r="G8" s="1" t="s">
        <v>16</v>
      </c>
      <c r="H8" s="24">
        <f>$I15/H5</f>
        <v>3.3324580736676066</v>
      </c>
      <c r="I8" s="24">
        <f>$I15/I5</f>
        <v>2.4993435552507051</v>
      </c>
      <c r="J8" s="24">
        <f>$I15/J5</f>
        <v>1.9994748442005639</v>
      </c>
      <c r="K8" s="24">
        <f>$I15/K5</f>
        <v>1.6662290368338033</v>
      </c>
      <c r="L8" s="24">
        <f>$I15/L5</f>
        <v>1.428196317286117</v>
      </c>
      <c r="M8" s="24">
        <f t="shared" ref="M8:N8" si="4">$I15/M5</f>
        <v>1.2496717776253525</v>
      </c>
      <c r="N8" s="24">
        <f t="shared" si="4"/>
        <v>1.1108193578892023</v>
      </c>
    </row>
    <row r="9" spans="1:14" x14ac:dyDescent="0.25">
      <c r="B9" s="6"/>
      <c r="D9" s="1" t="s">
        <v>79</v>
      </c>
      <c r="E9" s="19"/>
    </row>
    <row r="10" spans="1:14" x14ac:dyDescent="0.25">
      <c r="B10" s="6"/>
      <c r="D10" s="1" t="s">
        <v>80</v>
      </c>
      <c r="E10" s="19"/>
    </row>
    <row r="11" spans="1:14" x14ac:dyDescent="0.25">
      <c r="A11" t="s">
        <v>17</v>
      </c>
      <c r="D11" s="1" t="s">
        <v>18</v>
      </c>
      <c r="E11" s="19"/>
    </row>
    <row r="12" spans="1:14" x14ac:dyDescent="0.25">
      <c r="A12" t="s">
        <v>19</v>
      </c>
      <c r="D12" s="1" t="s">
        <v>97</v>
      </c>
      <c r="E12" s="19"/>
    </row>
    <row r="13" spans="1:14" x14ac:dyDescent="0.25">
      <c r="A13" t="s">
        <v>20</v>
      </c>
      <c r="D13" s="1" t="s">
        <v>81</v>
      </c>
      <c r="E13" s="19"/>
    </row>
    <row r="14" spans="1:14" x14ac:dyDescent="0.25">
      <c r="A14" t="s">
        <v>108</v>
      </c>
      <c r="D14" s="1" t="s">
        <v>55</v>
      </c>
      <c r="E14" s="19"/>
    </row>
    <row r="15" spans="1:14" x14ac:dyDescent="0.25">
      <c r="D15" s="4" t="s">
        <v>21</v>
      </c>
      <c r="E15" s="7">
        <f>SUM(E2:E14)</f>
        <v>0</v>
      </c>
      <c r="G15" s="101" t="s">
        <v>22</v>
      </c>
      <c r="H15" s="101"/>
      <c r="I15" s="102">
        <v>125000</v>
      </c>
      <c r="J15" s="102"/>
      <c r="K15" s="102"/>
    </row>
    <row r="16" spans="1:14" x14ac:dyDescent="0.25">
      <c r="D16" s="8"/>
      <c r="E16" s="8"/>
    </row>
    <row r="17" spans="1:15" x14ac:dyDescent="0.25">
      <c r="D17" s="12" t="s">
        <v>23</v>
      </c>
      <c r="E17" s="7">
        <f>E15/(1-B8)</f>
        <v>0</v>
      </c>
      <c r="G17" s="9"/>
      <c r="H17" s="9"/>
      <c r="I17" s="9"/>
      <c r="J17" s="9"/>
      <c r="K17" s="9"/>
      <c r="L17" s="9"/>
    </row>
    <row r="18" spans="1:15" x14ac:dyDescent="0.25">
      <c r="A18" s="10"/>
      <c r="B18" s="10"/>
      <c r="G18" s="9"/>
      <c r="H18" s="9"/>
      <c r="I18" s="9"/>
      <c r="J18" s="9"/>
      <c r="K18" s="9"/>
      <c r="L18" s="9"/>
    </row>
    <row r="19" spans="1:15" x14ac:dyDescent="0.25">
      <c r="A19" s="10"/>
      <c r="B19" s="11" t="s">
        <v>25</v>
      </c>
      <c r="C19" s="11"/>
      <c r="D19" s="11" t="s">
        <v>52</v>
      </c>
      <c r="E19" s="11" t="s">
        <v>27</v>
      </c>
      <c r="G19" s="11" t="s">
        <v>25</v>
      </c>
      <c r="H19" s="11" t="s">
        <v>28</v>
      </c>
      <c r="J19" s="11" t="s">
        <v>25</v>
      </c>
      <c r="K19" s="11" t="s">
        <v>28</v>
      </c>
      <c r="M19" s="13" t="s">
        <v>107</v>
      </c>
    </row>
    <row r="20" spans="1:15" x14ac:dyDescent="0.25">
      <c r="A20" s="10"/>
      <c r="B20" s="1" t="s">
        <v>29</v>
      </c>
      <c r="C20" s="14"/>
      <c r="D20" s="21">
        <v>12</v>
      </c>
      <c r="E20" s="15">
        <f>(D20+C20*D20)</f>
        <v>12</v>
      </c>
      <c r="G20" s="1" t="s">
        <v>30</v>
      </c>
      <c r="H20" s="21">
        <v>0.55000000000000004</v>
      </c>
      <c r="J20" s="1" t="s">
        <v>63</v>
      </c>
      <c r="K20" s="21">
        <v>6.76</v>
      </c>
      <c r="M20" s="53">
        <f>M82</f>
        <v>37.365615932227641</v>
      </c>
    </row>
    <row r="21" spans="1:15" x14ac:dyDescent="0.25">
      <c r="A21" s="10"/>
      <c r="B21" s="1" t="s">
        <v>31</v>
      </c>
      <c r="C21" s="14"/>
      <c r="D21" s="21">
        <v>6</v>
      </c>
      <c r="E21" s="15">
        <f t="shared" ref="E21:E30" si="5">(D21+C21*D21)</f>
        <v>6</v>
      </c>
      <c r="G21" s="1" t="s">
        <v>32</v>
      </c>
      <c r="H21" s="21">
        <v>4</v>
      </c>
      <c r="J21" s="1" t="s">
        <v>61</v>
      </c>
      <c r="K21" s="21">
        <v>3.25</v>
      </c>
    </row>
    <row r="22" spans="1:15" x14ac:dyDescent="0.25">
      <c r="A22" s="10"/>
      <c r="B22" s="1" t="s">
        <v>33</v>
      </c>
      <c r="C22" s="14"/>
      <c r="D22" s="21">
        <v>18</v>
      </c>
      <c r="E22" s="15">
        <f t="shared" si="5"/>
        <v>18</v>
      </c>
      <c r="G22" s="1" t="s">
        <v>34</v>
      </c>
      <c r="H22" s="21">
        <v>8</v>
      </c>
      <c r="J22" s="1" t="s">
        <v>62</v>
      </c>
      <c r="K22" s="21">
        <v>2.2000000000000002</v>
      </c>
    </row>
    <row r="23" spans="1:15" x14ac:dyDescent="0.25">
      <c r="A23" s="10" t="s">
        <v>82</v>
      </c>
      <c r="B23" s="1" t="s">
        <v>35</v>
      </c>
      <c r="C23" s="14"/>
      <c r="D23" s="21">
        <v>11.25</v>
      </c>
      <c r="E23" s="15">
        <f t="shared" si="5"/>
        <v>11.25</v>
      </c>
      <c r="G23" s="1" t="s">
        <v>58</v>
      </c>
      <c r="H23" s="21">
        <v>0.5</v>
      </c>
    </row>
    <row r="24" spans="1:15" x14ac:dyDescent="0.25">
      <c r="A24" s="10"/>
      <c r="B24" s="1" t="s">
        <v>36</v>
      </c>
      <c r="C24" s="14"/>
      <c r="D24" s="21">
        <v>45</v>
      </c>
      <c r="E24" s="15">
        <f t="shared" si="5"/>
        <v>45</v>
      </c>
      <c r="G24" s="27" t="s">
        <v>88</v>
      </c>
      <c r="H24" s="29">
        <v>8.59</v>
      </c>
      <c r="J24" s="100" t="s">
        <v>54</v>
      </c>
      <c r="K24" s="31" t="s">
        <v>64</v>
      </c>
      <c r="L24" s="32" t="s">
        <v>65</v>
      </c>
      <c r="M24" s="33" t="s">
        <v>66</v>
      </c>
    </row>
    <row r="25" spans="1:15" x14ac:dyDescent="0.25">
      <c r="A25" s="10"/>
      <c r="B25" s="1" t="s">
        <v>37</v>
      </c>
      <c r="C25" s="14"/>
      <c r="D25" s="21">
        <v>22</v>
      </c>
      <c r="E25" s="15">
        <f t="shared" si="5"/>
        <v>22</v>
      </c>
      <c r="G25" s="28" t="s">
        <v>60</v>
      </c>
      <c r="H25" s="21">
        <v>21.38</v>
      </c>
      <c r="J25" s="100"/>
      <c r="K25" s="21"/>
      <c r="L25" s="34"/>
      <c r="M25" s="21" t="e">
        <f>(K25/L25)</f>
        <v>#DIV/0!</v>
      </c>
    </row>
    <row r="26" spans="1:15" x14ac:dyDescent="0.25">
      <c r="A26" s="10"/>
      <c r="B26" s="1" t="s">
        <v>57</v>
      </c>
      <c r="C26" s="14"/>
      <c r="D26" s="21">
        <v>10.62</v>
      </c>
      <c r="E26" s="15">
        <f t="shared" si="5"/>
        <v>10.62</v>
      </c>
      <c r="G26" s="1" t="s">
        <v>70</v>
      </c>
      <c r="H26" s="21">
        <v>1.7</v>
      </c>
      <c r="L26" s="30"/>
    </row>
    <row r="27" spans="1:15" x14ac:dyDescent="0.25">
      <c r="A27" s="10"/>
      <c r="B27" s="1" t="s">
        <v>96</v>
      </c>
      <c r="C27" s="14"/>
      <c r="D27" s="21">
        <v>16</v>
      </c>
      <c r="E27" s="15">
        <f t="shared" si="5"/>
        <v>16</v>
      </c>
      <c r="G27" s="1" t="s">
        <v>109</v>
      </c>
      <c r="H27" s="21">
        <v>40</v>
      </c>
      <c r="I27" t="s">
        <v>113</v>
      </c>
      <c r="L27" s="30"/>
    </row>
    <row r="28" spans="1:15" x14ac:dyDescent="0.25">
      <c r="A28" s="10"/>
      <c r="B28" s="1" t="s">
        <v>77</v>
      </c>
      <c r="C28" s="14"/>
      <c r="D28" s="21">
        <v>35</v>
      </c>
      <c r="E28" s="15">
        <f t="shared" si="5"/>
        <v>35</v>
      </c>
      <c r="G28" s="1" t="s">
        <v>111</v>
      </c>
      <c r="H28" s="54">
        <v>28</v>
      </c>
      <c r="I28" t="s">
        <v>112</v>
      </c>
      <c r="L28" s="30"/>
    </row>
    <row r="29" spans="1:15" x14ac:dyDescent="0.25">
      <c r="A29" s="10"/>
      <c r="B29" s="1" t="s">
        <v>95</v>
      </c>
      <c r="C29" s="14"/>
      <c r="D29" s="21">
        <v>35</v>
      </c>
      <c r="E29" s="15">
        <f t="shared" si="5"/>
        <v>35</v>
      </c>
      <c r="H29" s="26"/>
      <c r="L29" s="30"/>
    </row>
    <row r="30" spans="1:15" x14ac:dyDescent="0.25">
      <c r="A30" s="10" t="s">
        <v>94</v>
      </c>
      <c r="B30" s="1" t="s">
        <v>90</v>
      </c>
      <c r="C30" s="14"/>
      <c r="D30" s="21">
        <v>16</v>
      </c>
      <c r="E30" s="15">
        <f t="shared" si="5"/>
        <v>16</v>
      </c>
      <c r="H30" s="26"/>
      <c r="L30" s="30"/>
    </row>
    <row r="31" spans="1:15" x14ac:dyDescent="0.25">
      <c r="A31" s="10"/>
    </row>
    <row r="32" spans="1:15" x14ac:dyDescent="0.25">
      <c r="B32" s="16" t="s">
        <v>33</v>
      </c>
      <c r="C32" s="17" t="s">
        <v>38</v>
      </c>
      <c r="D32" s="17" t="s">
        <v>24</v>
      </c>
      <c r="E32" s="17" t="s">
        <v>30</v>
      </c>
      <c r="F32" s="17" t="s">
        <v>39</v>
      </c>
      <c r="G32" s="17" t="s">
        <v>40</v>
      </c>
      <c r="H32" s="17" t="s">
        <v>41</v>
      </c>
      <c r="I32" s="17" t="s">
        <v>42</v>
      </c>
      <c r="J32" s="17" t="s">
        <v>43</v>
      </c>
      <c r="K32" s="17" t="s">
        <v>44</v>
      </c>
      <c r="L32" s="17" t="s">
        <v>53</v>
      </c>
      <c r="M32" s="17" t="s">
        <v>83</v>
      </c>
      <c r="N32" s="50" t="s">
        <v>78</v>
      </c>
      <c r="O32" s="17" t="s">
        <v>84</v>
      </c>
    </row>
    <row r="33" spans="1:15" x14ac:dyDescent="0.25">
      <c r="B33" s="17" t="s">
        <v>45</v>
      </c>
      <c r="C33" s="15">
        <f>E22*0.5</f>
        <v>9</v>
      </c>
      <c r="D33" s="38">
        <v>1.52</v>
      </c>
      <c r="E33" s="15">
        <f>1*H20</f>
        <v>0.55000000000000004</v>
      </c>
      <c r="F33" s="15">
        <f>0.15*H21</f>
        <v>0.6</v>
      </c>
      <c r="G33" s="15">
        <f>0.15*H22</f>
        <v>1.2</v>
      </c>
      <c r="H33" s="15">
        <f>0.15*E20</f>
        <v>1.7999999999999998</v>
      </c>
      <c r="I33" s="15">
        <v>1.5</v>
      </c>
      <c r="J33" s="15">
        <v>0.7</v>
      </c>
      <c r="K33" s="15">
        <f>SUM(C33:J33)</f>
        <v>16.869999999999997</v>
      </c>
      <c r="L33" s="15">
        <v>49</v>
      </c>
      <c r="M33" s="24">
        <f>((K33*100)/L33)</f>
        <v>34.428571428571423</v>
      </c>
      <c r="N33" s="35">
        <v>49</v>
      </c>
      <c r="O33" s="24">
        <f>((K33*100/N33))</f>
        <v>34.428571428571423</v>
      </c>
    </row>
    <row r="34" spans="1:15" x14ac:dyDescent="0.25">
      <c r="B34" s="17" t="s">
        <v>46</v>
      </c>
      <c r="C34" s="15">
        <f>E22*0.9</f>
        <v>16.2</v>
      </c>
      <c r="D34" s="38">
        <v>2.0499999999999998</v>
      </c>
      <c r="E34" s="15">
        <f>(2*H20)</f>
        <v>1.1000000000000001</v>
      </c>
      <c r="F34" s="15">
        <f>0.3*H21</f>
        <v>1.2</v>
      </c>
      <c r="G34" s="15">
        <f>0.25*H22</f>
        <v>2</v>
      </c>
      <c r="H34" s="15">
        <f>0.2*E20</f>
        <v>2.4000000000000004</v>
      </c>
      <c r="I34" s="15">
        <f>2*I33</f>
        <v>3</v>
      </c>
      <c r="J34" s="15">
        <v>0.7</v>
      </c>
      <c r="K34" s="15">
        <f>SUM(C34:J34)</f>
        <v>28.650000000000002</v>
      </c>
      <c r="L34" s="15">
        <v>75</v>
      </c>
      <c r="M34" s="24">
        <f t="shared" ref="M34:M58" si="6">((K34*100)/L34)</f>
        <v>38.200000000000003</v>
      </c>
      <c r="N34" s="35">
        <v>79</v>
      </c>
      <c r="O34" s="24">
        <f>((K34*100/N34))</f>
        <v>36.265822784810126</v>
      </c>
    </row>
    <row r="35" spans="1:15" x14ac:dyDescent="0.25">
      <c r="B35" s="17" t="s">
        <v>47</v>
      </c>
      <c r="C35" s="15">
        <f>E22*1.4</f>
        <v>25.2</v>
      </c>
      <c r="D35" s="38">
        <v>2.6</v>
      </c>
      <c r="E35" s="15">
        <f>3*H20</f>
        <v>1.6500000000000001</v>
      </c>
      <c r="F35" s="15">
        <f>0.45*H21</f>
        <v>1.8</v>
      </c>
      <c r="G35" s="15">
        <f>0.45*H22</f>
        <v>3.6</v>
      </c>
      <c r="H35" s="15">
        <f>0.3*E20</f>
        <v>3.5999999999999996</v>
      </c>
      <c r="I35" s="15">
        <f>3*I33</f>
        <v>4.5</v>
      </c>
      <c r="J35" s="15">
        <v>0.7</v>
      </c>
      <c r="K35" s="15">
        <f>SUM(C35:J35)</f>
        <v>43.650000000000006</v>
      </c>
      <c r="L35" s="15">
        <v>90</v>
      </c>
      <c r="M35" s="24">
        <f t="shared" si="6"/>
        <v>48.500000000000007</v>
      </c>
      <c r="N35" s="35">
        <v>120</v>
      </c>
      <c r="O35" s="24">
        <f t="shared" ref="O35:O69" si="7">((K35*100/N35))</f>
        <v>36.375000000000007</v>
      </c>
    </row>
    <row r="36" spans="1:15" x14ac:dyDescent="0.25">
      <c r="A36" s="66" t="s">
        <v>129</v>
      </c>
      <c r="B36" s="17" t="s">
        <v>48</v>
      </c>
      <c r="C36" s="15">
        <f>C37</f>
        <v>4.5</v>
      </c>
      <c r="D36" s="38">
        <v>2.15</v>
      </c>
      <c r="E36" s="15">
        <f t="shared" ref="E36:J36" si="8">E37</f>
        <v>0.55000000000000004</v>
      </c>
      <c r="F36" s="15">
        <f t="shared" si="8"/>
        <v>0.4</v>
      </c>
      <c r="G36" s="15">
        <f t="shared" si="8"/>
        <v>0.8</v>
      </c>
      <c r="H36" s="15">
        <f t="shared" si="8"/>
        <v>0.96</v>
      </c>
      <c r="I36" s="15">
        <f t="shared" si="8"/>
        <v>1.5</v>
      </c>
      <c r="J36" s="15">
        <f t="shared" si="8"/>
        <v>0.7</v>
      </c>
      <c r="K36" s="15">
        <f>SUM(C36:J36)+2.5</f>
        <v>14.059999999999999</v>
      </c>
      <c r="L36" s="15">
        <v>35</v>
      </c>
      <c r="M36" s="24">
        <f t="shared" si="6"/>
        <v>40.171428571428564</v>
      </c>
      <c r="N36" s="35"/>
      <c r="O36" s="24"/>
    </row>
    <row r="37" spans="1:15" x14ac:dyDescent="0.25">
      <c r="B37" s="17" t="s">
        <v>126</v>
      </c>
      <c r="C37" s="15">
        <f>E22*0.25</f>
        <v>4.5</v>
      </c>
      <c r="D37" s="38">
        <v>1.33</v>
      </c>
      <c r="E37" s="15">
        <f>1*H20</f>
        <v>0.55000000000000004</v>
      </c>
      <c r="F37" s="15">
        <f>0.1*H21</f>
        <v>0.4</v>
      </c>
      <c r="G37" s="15">
        <f>0.1*H22</f>
        <v>0.8</v>
      </c>
      <c r="H37" s="15">
        <f>0.08*E20</f>
        <v>0.96</v>
      </c>
      <c r="I37" s="15">
        <f>I33</f>
        <v>1.5</v>
      </c>
      <c r="J37" s="15">
        <v>0.7</v>
      </c>
      <c r="K37" s="15">
        <f>SUM(C37:J37)</f>
        <v>10.739999999999998</v>
      </c>
      <c r="L37" s="15">
        <v>30</v>
      </c>
      <c r="M37" s="24">
        <f t="shared" si="6"/>
        <v>35.79999999999999</v>
      </c>
      <c r="N37" s="35">
        <v>35</v>
      </c>
      <c r="O37" s="24">
        <f t="shared" si="7"/>
        <v>30.68571428571428</v>
      </c>
    </row>
    <row r="38" spans="1:15" x14ac:dyDescent="0.25">
      <c r="A38" s="26"/>
      <c r="B38" s="16" t="s">
        <v>36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24"/>
      <c r="N38" s="35"/>
      <c r="O38" s="24"/>
    </row>
    <row r="39" spans="1:15" x14ac:dyDescent="0.25">
      <c r="A39" s="26"/>
      <c r="B39" s="17" t="s">
        <v>45</v>
      </c>
      <c r="C39" s="15">
        <f>0.42*E24</f>
        <v>18.899999999999999</v>
      </c>
      <c r="D39" s="15">
        <f>D33</f>
        <v>1.52</v>
      </c>
      <c r="E39" s="15">
        <f>2*H20</f>
        <v>1.1000000000000001</v>
      </c>
      <c r="F39" s="15">
        <f>0.15*H21</f>
        <v>0.6</v>
      </c>
      <c r="G39" s="15">
        <f>0.15*H22</f>
        <v>1.2</v>
      </c>
      <c r="H39" s="15">
        <f>0.15*E20</f>
        <v>1.7999999999999998</v>
      </c>
      <c r="I39" s="15">
        <f>I33</f>
        <v>1.5</v>
      </c>
      <c r="J39" s="15">
        <v>0.7</v>
      </c>
      <c r="K39" s="15">
        <f>SUM(C39:J39)</f>
        <v>27.32</v>
      </c>
      <c r="L39" s="15">
        <v>69</v>
      </c>
      <c r="M39" s="24">
        <f t="shared" si="6"/>
        <v>39.594202898550726</v>
      </c>
      <c r="N39" s="35">
        <v>70</v>
      </c>
      <c r="O39" s="24">
        <f t="shared" si="7"/>
        <v>39.028571428571432</v>
      </c>
    </row>
    <row r="40" spans="1:15" x14ac:dyDescent="0.25">
      <c r="B40" s="16" t="s">
        <v>37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24"/>
      <c r="N40" s="35"/>
      <c r="O40" s="24"/>
    </row>
    <row r="41" spans="1:15" x14ac:dyDescent="0.25">
      <c r="B41" s="36" t="s">
        <v>45</v>
      </c>
      <c r="C41" s="15">
        <f>0.5*E25</f>
        <v>11</v>
      </c>
      <c r="D41" s="15">
        <f>D33</f>
        <v>1.52</v>
      </c>
      <c r="E41" s="15">
        <f>2*H20</f>
        <v>1.1000000000000001</v>
      </c>
      <c r="F41" s="15">
        <f>0.15*H21</f>
        <v>0.6</v>
      </c>
      <c r="G41" s="15">
        <f>0.15*H22</f>
        <v>1.2</v>
      </c>
      <c r="H41" s="15">
        <f>0.15*E20</f>
        <v>1.7999999999999998</v>
      </c>
      <c r="I41" s="15">
        <f>I33</f>
        <v>1.5</v>
      </c>
      <c r="J41" s="15">
        <v>0.7</v>
      </c>
      <c r="K41" s="15">
        <f>SUM(C41:J41)</f>
        <v>19.419999999999998</v>
      </c>
      <c r="L41" s="15">
        <v>59</v>
      </c>
      <c r="M41" s="24">
        <f t="shared" si="6"/>
        <v>32.915254237288131</v>
      </c>
      <c r="N41" s="35">
        <v>55</v>
      </c>
      <c r="O41" s="24">
        <f t="shared" si="7"/>
        <v>35.309090909090905</v>
      </c>
    </row>
    <row r="42" spans="1:15" x14ac:dyDescent="0.25">
      <c r="B42" s="37" t="s">
        <v>35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24"/>
      <c r="N42" s="35"/>
      <c r="O42" s="24"/>
    </row>
    <row r="43" spans="1:15" x14ac:dyDescent="0.25">
      <c r="B43" s="36" t="s">
        <v>45</v>
      </c>
      <c r="C43" s="15">
        <f>(0.5*E23)</f>
        <v>5.625</v>
      </c>
      <c r="D43" s="15">
        <f>D33</f>
        <v>1.52</v>
      </c>
      <c r="E43" s="15">
        <f>(2*E33)</f>
        <v>1.1000000000000001</v>
      </c>
      <c r="F43" s="15">
        <f>F33</f>
        <v>0.6</v>
      </c>
      <c r="G43" s="15">
        <f>G33</f>
        <v>1.2</v>
      </c>
      <c r="H43" s="15">
        <f>(H33)</f>
        <v>1.7999999999999998</v>
      </c>
      <c r="I43" s="15">
        <f>I33</f>
        <v>1.5</v>
      </c>
      <c r="J43" s="15">
        <v>0.7</v>
      </c>
      <c r="K43" s="15">
        <f t="shared" ref="K43:K56" si="9">SUM(C43:J43)</f>
        <v>14.044999999999998</v>
      </c>
      <c r="L43" s="15">
        <v>33</v>
      </c>
      <c r="M43" s="24">
        <f t="shared" si="6"/>
        <v>42.560606060606055</v>
      </c>
      <c r="N43" s="35">
        <v>37</v>
      </c>
      <c r="O43" s="24">
        <f t="shared" si="7"/>
        <v>37.959459459459453</v>
      </c>
    </row>
    <row r="44" spans="1:15" x14ac:dyDescent="0.25">
      <c r="B44" s="36" t="s">
        <v>46</v>
      </c>
      <c r="C44" s="15">
        <f>(0.75*E23)</f>
        <v>8.4375</v>
      </c>
      <c r="D44" s="15">
        <f>D34</f>
        <v>2.0499999999999998</v>
      </c>
      <c r="E44" s="15">
        <v>1</v>
      </c>
      <c r="F44" s="15">
        <f>F34</f>
        <v>1.2</v>
      </c>
      <c r="G44" s="15">
        <f>(G34)</f>
        <v>2</v>
      </c>
      <c r="H44" s="15">
        <f>H34</f>
        <v>2.4000000000000004</v>
      </c>
      <c r="I44" s="15">
        <f>I33</f>
        <v>1.5</v>
      </c>
      <c r="J44" s="15">
        <v>0.7</v>
      </c>
      <c r="K44" s="15">
        <f t="shared" si="9"/>
        <v>19.287499999999998</v>
      </c>
      <c r="L44" s="15">
        <v>45</v>
      </c>
      <c r="M44" s="24">
        <f t="shared" si="6"/>
        <v>42.861111111111107</v>
      </c>
      <c r="N44" s="35">
        <v>49</v>
      </c>
      <c r="O44" s="24">
        <f t="shared" si="7"/>
        <v>39.362244897959179</v>
      </c>
    </row>
    <row r="45" spans="1:15" x14ac:dyDescent="0.25">
      <c r="B45" s="36" t="s">
        <v>47</v>
      </c>
      <c r="C45" s="15">
        <f>1*E23</f>
        <v>11.25</v>
      </c>
      <c r="D45" s="15">
        <f>D35</f>
        <v>2.6</v>
      </c>
      <c r="E45" s="15">
        <f>E35</f>
        <v>1.6500000000000001</v>
      </c>
      <c r="F45" s="15">
        <f>F35</f>
        <v>1.8</v>
      </c>
      <c r="G45" s="15">
        <f>G35</f>
        <v>3.6</v>
      </c>
      <c r="H45" s="15">
        <f>H35</f>
        <v>3.5999999999999996</v>
      </c>
      <c r="I45" s="15">
        <f>3*I33</f>
        <v>4.5</v>
      </c>
      <c r="J45" s="15">
        <v>0.7</v>
      </c>
      <c r="K45" s="15">
        <f t="shared" si="9"/>
        <v>29.7</v>
      </c>
      <c r="L45" s="15">
        <v>65</v>
      </c>
      <c r="M45" s="24">
        <f t="shared" si="6"/>
        <v>45.692307692307693</v>
      </c>
      <c r="N45" s="35">
        <v>72</v>
      </c>
      <c r="O45" s="24">
        <f t="shared" si="7"/>
        <v>41.25</v>
      </c>
    </row>
    <row r="46" spans="1:15" x14ac:dyDescent="0.25">
      <c r="B46" s="16" t="s">
        <v>49</v>
      </c>
      <c r="C46" s="15">
        <f>(C33+C39)</f>
        <v>27.9</v>
      </c>
      <c r="D46" s="15">
        <f>D34</f>
        <v>2.0499999999999998</v>
      </c>
      <c r="E46" s="15">
        <f>(E33+E39)</f>
        <v>1.6500000000000001</v>
      </c>
      <c r="F46" s="15">
        <f>(F33+F39)</f>
        <v>1.2</v>
      </c>
      <c r="G46" s="15">
        <f>(G33+G39)</f>
        <v>2.4</v>
      </c>
      <c r="H46" s="15">
        <f>(0.3*E20)</f>
        <v>3.5999999999999996</v>
      </c>
      <c r="I46" s="15">
        <f>2*I33</f>
        <v>3</v>
      </c>
      <c r="J46" s="15">
        <v>0.7</v>
      </c>
      <c r="K46" s="15">
        <f t="shared" si="9"/>
        <v>42.5</v>
      </c>
      <c r="L46" s="15">
        <v>95</v>
      </c>
      <c r="M46" s="24">
        <f t="shared" si="6"/>
        <v>44.736842105263158</v>
      </c>
      <c r="N46" s="35">
        <v>90</v>
      </c>
      <c r="O46" s="24">
        <f t="shared" si="7"/>
        <v>47.222222222222221</v>
      </c>
    </row>
    <row r="47" spans="1:15" x14ac:dyDescent="0.25">
      <c r="B47" s="16" t="s">
        <v>50</v>
      </c>
      <c r="C47" s="15">
        <f>(C33+C41)</f>
        <v>20</v>
      </c>
      <c r="D47" s="15">
        <f>D34</f>
        <v>2.0499999999999998</v>
      </c>
      <c r="E47" s="15">
        <f>(E33+E41)</f>
        <v>1.6500000000000001</v>
      </c>
      <c r="F47" s="15">
        <f>(F33+F41)</f>
        <v>1.2</v>
      </c>
      <c r="G47" s="15">
        <f>(G33+G41)</f>
        <v>2.4</v>
      </c>
      <c r="H47" s="15">
        <f>0.3*E20</f>
        <v>3.5999999999999996</v>
      </c>
      <c r="I47" s="15">
        <f>2*I33</f>
        <v>3</v>
      </c>
      <c r="J47" s="15">
        <v>0.7</v>
      </c>
      <c r="K47" s="15">
        <f t="shared" si="9"/>
        <v>34.6</v>
      </c>
      <c r="L47" s="15">
        <v>95</v>
      </c>
      <c r="M47" s="24">
        <f t="shared" si="6"/>
        <v>36.421052631578945</v>
      </c>
      <c r="N47" s="35">
        <v>85</v>
      </c>
      <c r="O47" s="24">
        <f t="shared" si="7"/>
        <v>40.705882352941174</v>
      </c>
    </row>
    <row r="48" spans="1:15" x14ac:dyDescent="0.25">
      <c r="B48" s="16" t="s">
        <v>51</v>
      </c>
      <c r="C48" s="15">
        <f>(C33+C41+C39)</f>
        <v>38.9</v>
      </c>
      <c r="D48" s="15">
        <f>D35</f>
        <v>2.6</v>
      </c>
      <c r="E48" s="15">
        <f>(E33+E39+E41)</f>
        <v>2.75</v>
      </c>
      <c r="F48" s="15">
        <f>(F33+F39+F41)</f>
        <v>1.7999999999999998</v>
      </c>
      <c r="G48" s="15">
        <f>(G33+G39+G41)</f>
        <v>3.5999999999999996</v>
      </c>
      <c r="H48" s="15">
        <f>(0.45*E20)</f>
        <v>5.4</v>
      </c>
      <c r="I48" s="15">
        <f>3*I33</f>
        <v>4.5</v>
      </c>
      <c r="J48" s="15">
        <v>0.7</v>
      </c>
      <c r="K48" s="15">
        <f t="shared" si="9"/>
        <v>60.25</v>
      </c>
      <c r="L48" s="15">
        <v>130</v>
      </c>
      <c r="M48" s="24">
        <f>((K48*100)/L48)</f>
        <v>46.346153846153847</v>
      </c>
      <c r="N48" s="35">
        <v>150</v>
      </c>
      <c r="O48" s="24">
        <f t="shared" si="7"/>
        <v>40.166666666666664</v>
      </c>
    </row>
    <row r="49" spans="1:15" x14ac:dyDescent="0.25">
      <c r="B49" s="16" t="s">
        <v>73</v>
      </c>
      <c r="C49" s="15">
        <f>(0.25*E22)+(0.25*E24)</f>
        <v>15.75</v>
      </c>
      <c r="D49" s="15">
        <f>D33</f>
        <v>1.52</v>
      </c>
      <c r="E49" s="15">
        <f>E34</f>
        <v>1.1000000000000001</v>
      </c>
      <c r="F49" s="15">
        <f>F34</f>
        <v>1.2</v>
      </c>
      <c r="G49" s="15">
        <f>G34</f>
        <v>2</v>
      </c>
      <c r="H49" s="15">
        <f>H33</f>
        <v>1.7999999999999998</v>
      </c>
      <c r="I49" s="15">
        <f>I33</f>
        <v>1.5</v>
      </c>
      <c r="J49" s="15">
        <v>0.7</v>
      </c>
      <c r="K49" s="15">
        <f t="shared" si="9"/>
        <v>25.57</v>
      </c>
      <c r="L49" s="15">
        <v>69</v>
      </c>
      <c r="M49" s="24">
        <f>(K49*100)/L49</f>
        <v>37.05797101449275</v>
      </c>
      <c r="N49" s="35">
        <v>59</v>
      </c>
      <c r="O49" s="24">
        <f t="shared" si="7"/>
        <v>43.33898305084746</v>
      </c>
    </row>
    <row r="50" spans="1:15" x14ac:dyDescent="0.25">
      <c r="B50" s="16" t="s">
        <v>74</v>
      </c>
      <c r="C50" s="15">
        <f>(0.25*E22)+(0.25*E25)</f>
        <v>10</v>
      </c>
      <c r="D50" s="15">
        <f>D33</f>
        <v>1.52</v>
      </c>
      <c r="E50" s="15">
        <f>E34</f>
        <v>1.1000000000000001</v>
      </c>
      <c r="F50" s="15">
        <f>F34</f>
        <v>1.2</v>
      </c>
      <c r="G50" s="15">
        <f>G34</f>
        <v>2</v>
      </c>
      <c r="H50" s="15">
        <f>H33</f>
        <v>1.7999999999999998</v>
      </c>
      <c r="I50" s="15">
        <f>I33</f>
        <v>1.5</v>
      </c>
      <c r="J50" s="15">
        <f>0.7</f>
        <v>0.7</v>
      </c>
      <c r="K50" s="15">
        <f t="shared" si="9"/>
        <v>19.819999999999997</v>
      </c>
      <c r="L50" s="15">
        <v>65</v>
      </c>
      <c r="M50" s="24">
        <f t="shared" ref="M50:M51" si="10">(K50*100)/L50</f>
        <v>30.492307692307691</v>
      </c>
      <c r="N50" s="35">
        <v>59</v>
      </c>
      <c r="O50" s="24">
        <f t="shared" si="7"/>
        <v>33.593220338983045</v>
      </c>
    </row>
    <row r="51" spans="1:15" x14ac:dyDescent="0.25">
      <c r="B51" s="16" t="s">
        <v>75</v>
      </c>
      <c r="C51" s="15">
        <f>(0.25*E25)+(0.25*E24)</f>
        <v>16.75</v>
      </c>
      <c r="D51" s="15">
        <f>D33</f>
        <v>1.52</v>
      </c>
      <c r="E51" s="15">
        <f>E34</f>
        <v>1.1000000000000001</v>
      </c>
      <c r="F51" s="15">
        <f>F34</f>
        <v>1.2</v>
      </c>
      <c r="G51" s="15">
        <f>G34</f>
        <v>2</v>
      </c>
      <c r="H51" s="15">
        <f>H33</f>
        <v>1.7999999999999998</v>
      </c>
      <c r="I51" s="15">
        <f>I33</f>
        <v>1.5</v>
      </c>
      <c r="J51" s="15">
        <v>0.7</v>
      </c>
      <c r="K51" s="15">
        <f t="shared" si="9"/>
        <v>26.57</v>
      </c>
      <c r="L51" s="15">
        <v>65</v>
      </c>
      <c r="M51" s="24">
        <f t="shared" si="10"/>
        <v>40.876923076923077</v>
      </c>
      <c r="N51" s="35">
        <v>60</v>
      </c>
      <c r="O51" s="24">
        <f t="shared" si="7"/>
        <v>44.283333333333331</v>
      </c>
    </row>
    <row r="52" spans="1:15" x14ac:dyDescent="0.25">
      <c r="B52" s="16" t="s">
        <v>76</v>
      </c>
      <c r="C52" s="15">
        <f>(0.5*E27)</f>
        <v>8</v>
      </c>
      <c r="D52" s="15">
        <f>D33</f>
        <v>1.52</v>
      </c>
      <c r="E52" s="15">
        <v>1</v>
      </c>
      <c r="F52" s="15">
        <f>(F34)</f>
        <v>1.2</v>
      </c>
      <c r="G52" s="15">
        <f>G33</f>
        <v>1.2</v>
      </c>
      <c r="H52" s="15">
        <f>H33</f>
        <v>1.7999999999999998</v>
      </c>
      <c r="I52" s="15">
        <f>I33</f>
        <v>1.5</v>
      </c>
      <c r="J52" s="15">
        <v>0.7</v>
      </c>
      <c r="K52" s="15">
        <f t="shared" si="9"/>
        <v>16.919999999999998</v>
      </c>
      <c r="L52" s="15">
        <v>49</v>
      </c>
      <c r="M52" s="24">
        <f>(K52*100/L52)</f>
        <v>34.530612244897952</v>
      </c>
      <c r="N52" s="35">
        <v>50</v>
      </c>
      <c r="O52" s="24">
        <f t="shared" si="7"/>
        <v>33.839999999999996</v>
      </c>
    </row>
    <row r="53" spans="1:15" x14ac:dyDescent="0.25">
      <c r="B53" s="16" t="s">
        <v>77</v>
      </c>
      <c r="C53" s="15">
        <f>(0.4*E28)</f>
        <v>14</v>
      </c>
      <c r="D53" s="15">
        <f>D33</f>
        <v>1.52</v>
      </c>
      <c r="E53" s="15">
        <f>E34</f>
        <v>1.1000000000000001</v>
      </c>
      <c r="F53" s="15">
        <f>F34</f>
        <v>1.2</v>
      </c>
      <c r="G53" s="15">
        <f>G33</f>
        <v>1.2</v>
      </c>
      <c r="H53" s="15">
        <f>H33</f>
        <v>1.7999999999999998</v>
      </c>
      <c r="I53" s="15">
        <f>I33</f>
        <v>1.5</v>
      </c>
      <c r="J53" s="15">
        <v>0.7</v>
      </c>
      <c r="K53" s="15">
        <f t="shared" si="9"/>
        <v>23.02</v>
      </c>
      <c r="L53" s="15">
        <v>59</v>
      </c>
      <c r="M53" s="24">
        <f>(K53*100/L53)</f>
        <v>39.016949152542374</v>
      </c>
      <c r="N53" s="35">
        <v>60</v>
      </c>
      <c r="O53" s="24">
        <f t="shared" si="7"/>
        <v>38.366666666666667</v>
      </c>
    </row>
    <row r="54" spans="1:15" x14ac:dyDescent="0.25">
      <c r="B54" s="16" t="s">
        <v>91</v>
      </c>
      <c r="C54" s="15">
        <f>(0.5*E30)</f>
        <v>8</v>
      </c>
      <c r="D54" s="15">
        <f>D33</f>
        <v>1.52</v>
      </c>
      <c r="E54" s="15">
        <f>E43</f>
        <v>1.1000000000000001</v>
      </c>
      <c r="F54" s="15">
        <f>(0.15*H21)</f>
        <v>0.6</v>
      </c>
      <c r="G54" s="15">
        <f>(0.15*H22)</f>
        <v>1.2</v>
      </c>
      <c r="H54" s="15">
        <f>(0.15*E20)</f>
        <v>1.7999999999999998</v>
      </c>
      <c r="I54" s="15">
        <f>I33</f>
        <v>1.5</v>
      </c>
      <c r="J54" s="15">
        <v>0.7</v>
      </c>
      <c r="K54" s="15">
        <f t="shared" si="9"/>
        <v>16.419999999999998</v>
      </c>
      <c r="L54" s="15">
        <v>45</v>
      </c>
      <c r="M54" s="24">
        <f>(K54*100/L54)</f>
        <v>36.488888888888887</v>
      </c>
      <c r="N54" s="35"/>
      <c r="O54" s="24"/>
    </row>
    <row r="55" spans="1:15" x14ac:dyDescent="0.25">
      <c r="B55" s="16" t="s">
        <v>92</v>
      </c>
      <c r="C55" s="15">
        <f>(0.75*D30)</f>
        <v>12</v>
      </c>
      <c r="D55" s="15">
        <f>D34</f>
        <v>2.0499999999999998</v>
      </c>
      <c r="E55" s="15">
        <f>E44</f>
        <v>1</v>
      </c>
      <c r="F55" s="15">
        <f t="shared" ref="F55:H56" si="11">F44</f>
        <v>1.2</v>
      </c>
      <c r="G55" s="15">
        <f t="shared" si="11"/>
        <v>2</v>
      </c>
      <c r="H55" s="15">
        <f t="shared" si="11"/>
        <v>2.4000000000000004</v>
      </c>
      <c r="I55" s="15">
        <f>2*I33</f>
        <v>3</v>
      </c>
      <c r="J55" s="15">
        <v>0.7</v>
      </c>
      <c r="K55" s="15">
        <f t="shared" si="9"/>
        <v>24.349999999999998</v>
      </c>
      <c r="L55" s="15">
        <v>60</v>
      </c>
      <c r="M55" s="24">
        <f t="shared" ref="M55:M57" si="12">(K55*100/L55)</f>
        <v>40.583333333333336</v>
      </c>
      <c r="N55" s="35"/>
      <c r="O55" s="24"/>
    </row>
    <row r="56" spans="1:15" x14ac:dyDescent="0.25">
      <c r="A56" s="63" t="s">
        <v>128</v>
      </c>
      <c r="B56" s="16" t="s">
        <v>93</v>
      </c>
      <c r="C56" s="15">
        <f>0.9*D30</f>
        <v>14.4</v>
      </c>
      <c r="D56" s="15">
        <f>D35</f>
        <v>2.6</v>
      </c>
      <c r="E56" s="15">
        <f>E45</f>
        <v>1.6500000000000001</v>
      </c>
      <c r="F56" s="15">
        <f t="shared" si="11"/>
        <v>1.8</v>
      </c>
      <c r="G56" s="15">
        <f t="shared" si="11"/>
        <v>3.6</v>
      </c>
      <c r="H56" s="15">
        <f t="shared" si="11"/>
        <v>3.5999999999999996</v>
      </c>
      <c r="I56" s="15">
        <f>3*I33</f>
        <v>4.5</v>
      </c>
      <c r="J56" s="15">
        <v>0.7</v>
      </c>
      <c r="K56" s="15">
        <f t="shared" si="9"/>
        <v>32.85</v>
      </c>
      <c r="L56" s="15">
        <v>75</v>
      </c>
      <c r="M56" s="24">
        <f t="shared" si="12"/>
        <v>43.8</v>
      </c>
      <c r="N56" s="35"/>
      <c r="O56" s="24"/>
    </row>
    <row r="57" spans="1:15" x14ac:dyDescent="0.25">
      <c r="A57" s="64">
        <v>2.5</v>
      </c>
      <c r="B57" s="63" t="s">
        <v>125</v>
      </c>
      <c r="C57" s="15">
        <f>0.2*E22</f>
        <v>3.6</v>
      </c>
      <c r="D57" s="15">
        <v>2.15</v>
      </c>
      <c r="E57" s="15">
        <f>1*H20</f>
        <v>0.55000000000000004</v>
      </c>
      <c r="F57" s="15">
        <f>(0.1*H21)</f>
        <v>0.4</v>
      </c>
      <c r="G57" s="15">
        <f>(0.1*H22)</f>
        <v>0.8</v>
      </c>
      <c r="H57" s="15">
        <f>(0.08*E20)</f>
        <v>0.96</v>
      </c>
      <c r="I57" s="15">
        <v>1.5</v>
      </c>
      <c r="J57" s="15">
        <v>0.7</v>
      </c>
      <c r="K57" s="15">
        <f>SUM(C57:J57)+A57+A59</f>
        <v>17.16</v>
      </c>
      <c r="L57" s="15">
        <v>45</v>
      </c>
      <c r="M57" s="24">
        <f t="shared" si="12"/>
        <v>38.133333333333333</v>
      </c>
      <c r="N57" s="35"/>
      <c r="O57" s="24"/>
    </row>
    <row r="58" spans="1:15" x14ac:dyDescent="0.25">
      <c r="A58" s="65" t="s">
        <v>127</v>
      </c>
      <c r="B58" s="16" t="s">
        <v>57</v>
      </c>
      <c r="C58" s="15">
        <f>(0.3*E26)</f>
        <v>3.1859999999999995</v>
      </c>
      <c r="D58" s="15">
        <f>D33</f>
        <v>1.52</v>
      </c>
      <c r="E58" s="15">
        <f>E33</f>
        <v>0.55000000000000004</v>
      </c>
      <c r="F58" s="15">
        <f>0.25*H21</f>
        <v>1</v>
      </c>
      <c r="G58" s="15">
        <f>0.25*H22</f>
        <v>2</v>
      </c>
      <c r="H58" s="15">
        <f>0.15*E20</f>
        <v>1.7999999999999998</v>
      </c>
      <c r="I58" s="15">
        <f>I33</f>
        <v>1.5</v>
      </c>
      <c r="J58" s="15">
        <v>0.7</v>
      </c>
      <c r="K58" s="15">
        <f t="shared" ref="K58:K63" si="13">SUM(C58:J58)</f>
        <v>12.256</v>
      </c>
      <c r="L58" s="15">
        <v>35</v>
      </c>
      <c r="M58" s="24">
        <f t="shared" si="6"/>
        <v>35.017142857142858</v>
      </c>
      <c r="N58" s="35">
        <v>35</v>
      </c>
      <c r="O58" s="24">
        <f t="shared" si="7"/>
        <v>35.017142857142858</v>
      </c>
    </row>
    <row r="59" spans="1:15" x14ac:dyDescent="0.25">
      <c r="A59" s="64">
        <v>4</v>
      </c>
      <c r="B59" s="16" t="s">
        <v>29</v>
      </c>
      <c r="C59" s="15">
        <f>(0.4*E20)</f>
        <v>4.8000000000000007</v>
      </c>
      <c r="D59" s="15">
        <f>D33</f>
        <v>1.52</v>
      </c>
      <c r="E59" s="15"/>
      <c r="F59" s="15"/>
      <c r="G59" s="15"/>
      <c r="H59" s="15"/>
      <c r="I59" s="15"/>
      <c r="J59" s="15">
        <v>0.7</v>
      </c>
      <c r="K59" s="15">
        <f t="shared" si="13"/>
        <v>7.0200000000000005</v>
      </c>
      <c r="L59" s="15">
        <v>20</v>
      </c>
      <c r="M59" s="24">
        <f>((K59*100)/L59)</f>
        <v>35.1</v>
      </c>
      <c r="N59" s="35">
        <v>22</v>
      </c>
      <c r="O59" s="24">
        <f t="shared" si="7"/>
        <v>31.90909090909091</v>
      </c>
    </row>
    <row r="60" spans="1:15" x14ac:dyDescent="0.25">
      <c r="B60" s="16" t="s">
        <v>59</v>
      </c>
      <c r="C60" s="15">
        <f>H24</f>
        <v>8.59</v>
      </c>
      <c r="D60" s="15">
        <f>D33</f>
        <v>1.52</v>
      </c>
      <c r="E60" s="15"/>
      <c r="F60" s="15"/>
      <c r="G60" s="15"/>
      <c r="H60" s="15"/>
      <c r="I60" s="15"/>
      <c r="J60" s="15">
        <v>0.7</v>
      </c>
      <c r="K60" s="15">
        <f t="shared" si="13"/>
        <v>10.809999999999999</v>
      </c>
      <c r="L60" s="15">
        <v>25</v>
      </c>
      <c r="M60" s="24">
        <f>((K60*100)/L60)</f>
        <v>43.239999999999988</v>
      </c>
      <c r="N60" s="35">
        <v>25</v>
      </c>
      <c r="O60" s="24">
        <f t="shared" si="7"/>
        <v>43.239999999999988</v>
      </c>
    </row>
    <row r="61" spans="1:15" x14ac:dyDescent="0.25">
      <c r="B61" s="16" t="s">
        <v>31</v>
      </c>
      <c r="C61" s="15">
        <f>(0.4*E21)</f>
        <v>2.4000000000000004</v>
      </c>
      <c r="D61" s="15">
        <f>D33</f>
        <v>1.52</v>
      </c>
      <c r="E61" s="15"/>
      <c r="F61" s="15"/>
      <c r="G61" s="15"/>
      <c r="H61" s="15"/>
      <c r="I61" s="15"/>
      <c r="J61" s="15">
        <v>0.7</v>
      </c>
      <c r="K61" s="15">
        <f t="shared" si="13"/>
        <v>4.62</v>
      </c>
      <c r="L61" s="15">
        <v>20</v>
      </c>
      <c r="M61" s="24">
        <f>((K61*100)/L61)</f>
        <v>23.1</v>
      </c>
      <c r="N61" s="35">
        <v>20</v>
      </c>
      <c r="O61" s="24">
        <f t="shared" si="7"/>
        <v>23.1</v>
      </c>
    </row>
    <row r="62" spans="1:15" x14ac:dyDescent="0.25">
      <c r="B62" s="16" t="s">
        <v>60</v>
      </c>
      <c r="C62" s="15">
        <f>0.25*H25</f>
        <v>5.3449999999999998</v>
      </c>
      <c r="D62" s="15">
        <f>D37</f>
        <v>1.33</v>
      </c>
      <c r="E62" s="1"/>
      <c r="F62" s="1"/>
      <c r="G62" s="1"/>
      <c r="H62" s="1"/>
      <c r="I62" s="1"/>
      <c r="J62" s="15">
        <v>0.7</v>
      </c>
      <c r="K62" s="15">
        <f t="shared" si="13"/>
        <v>7.375</v>
      </c>
      <c r="L62" s="15">
        <v>25</v>
      </c>
      <c r="M62" s="24">
        <f>((K62*100)/L62)</f>
        <v>29.5</v>
      </c>
      <c r="N62" s="35">
        <v>25</v>
      </c>
      <c r="O62" s="24">
        <f t="shared" si="7"/>
        <v>29.5</v>
      </c>
    </row>
    <row r="63" spans="1:15" x14ac:dyDescent="0.25">
      <c r="B63" s="16" t="s">
        <v>95</v>
      </c>
      <c r="C63" s="15">
        <f>(0.45*E29)</f>
        <v>15.75</v>
      </c>
      <c r="D63" s="15">
        <f>D33</f>
        <v>1.52</v>
      </c>
      <c r="E63" s="15">
        <f>(2*E33)</f>
        <v>1.1000000000000001</v>
      </c>
      <c r="F63" s="15">
        <f>(F33)</f>
        <v>0.6</v>
      </c>
      <c r="G63" s="15">
        <f>G33</f>
        <v>1.2</v>
      </c>
      <c r="H63" s="1"/>
      <c r="I63" s="15">
        <f>I33</f>
        <v>1.5</v>
      </c>
      <c r="J63" s="1">
        <v>0.7</v>
      </c>
      <c r="K63" s="15">
        <f t="shared" si="13"/>
        <v>22.37</v>
      </c>
      <c r="L63" s="15">
        <v>59</v>
      </c>
      <c r="M63" s="24">
        <f>((K63*100)/L63)</f>
        <v>37.915254237288138</v>
      </c>
      <c r="N63" s="35">
        <v>65</v>
      </c>
      <c r="O63" s="24">
        <f t="shared" si="7"/>
        <v>34.415384615384617</v>
      </c>
    </row>
    <row r="64" spans="1:15" x14ac:dyDescent="0.25">
      <c r="B64" s="1"/>
      <c r="C64" s="1"/>
      <c r="D64" s="1"/>
      <c r="E64" s="17" t="s">
        <v>71</v>
      </c>
      <c r="F64" s="1"/>
      <c r="G64" s="1"/>
      <c r="H64" s="17" t="s">
        <v>72</v>
      </c>
      <c r="I64" s="1"/>
      <c r="J64" s="1"/>
      <c r="K64" s="15"/>
      <c r="L64" s="1"/>
      <c r="M64" s="24"/>
      <c r="N64" s="35"/>
      <c r="O64" s="24"/>
    </row>
    <row r="65" spans="2:15" x14ac:dyDescent="0.25">
      <c r="B65" s="16" t="s">
        <v>67</v>
      </c>
      <c r="C65" s="15">
        <f>(0.1*E22)</f>
        <v>1.8</v>
      </c>
      <c r="D65" s="15">
        <v>1.35</v>
      </c>
      <c r="E65" s="15">
        <v>1</v>
      </c>
      <c r="F65" s="15"/>
      <c r="G65" s="15"/>
      <c r="H65" s="15">
        <f>H26</f>
        <v>1.7</v>
      </c>
      <c r="I65" s="15">
        <v>1</v>
      </c>
      <c r="J65" s="15">
        <v>1</v>
      </c>
      <c r="K65" s="15">
        <f>SUM(C65:J65)</f>
        <v>7.8500000000000005</v>
      </c>
      <c r="L65" s="15">
        <v>22</v>
      </c>
      <c r="M65" s="24">
        <f t="shared" ref="M65:M69" si="14">((K65*100)/L65)</f>
        <v>35.68181818181818</v>
      </c>
      <c r="N65" s="35">
        <v>22</v>
      </c>
      <c r="O65" s="24">
        <f t="shared" si="7"/>
        <v>35.68181818181818</v>
      </c>
    </row>
    <row r="66" spans="2:15" x14ac:dyDescent="0.25">
      <c r="B66" s="16" t="s">
        <v>68</v>
      </c>
      <c r="C66" s="15">
        <f>(0.1*E24)</f>
        <v>4.5</v>
      </c>
      <c r="D66" s="15">
        <v>1.35</v>
      </c>
      <c r="E66" s="15">
        <v>1</v>
      </c>
      <c r="F66" s="15"/>
      <c r="G66" s="15"/>
      <c r="H66" s="15">
        <f>H26</f>
        <v>1.7</v>
      </c>
      <c r="I66" s="15">
        <v>1</v>
      </c>
      <c r="J66" s="15">
        <v>1</v>
      </c>
      <c r="K66" s="15">
        <f>SUM(C66:J66)</f>
        <v>10.549999999999999</v>
      </c>
      <c r="L66" s="15">
        <v>26</v>
      </c>
      <c r="M66" s="24">
        <f t="shared" si="14"/>
        <v>40.57692307692308</v>
      </c>
      <c r="N66" s="35">
        <v>26</v>
      </c>
      <c r="O66" s="24">
        <f t="shared" si="7"/>
        <v>40.57692307692308</v>
      </c>
    </row>
    <row r="67" spans="2:15" x14ac:dyDescent="0.25">
      <c r="B67" s="16" t="s">
        <v>69</v>
      </c>
      <c r="C67" s="15">
        <f>(0.1*E25)</f>
        <v>2.2000000000000002</v>
      </c>
      <c r="D67" s="15">
        <v>1.35</v>
      </c>
      <c r="E67" s="15">
        <v>1</v>
      </c>
      <c r="F67" s="15"/>
      <c r="G67" s="15"/>
      <c r="H67" s="15">
        <v>1.7</v>
      </c>
      <c r="I67" s="15">
        <v>1</v>
      </c>
      <c r="J67" s="15">
        <v>1</v>
      </c>
      <c r="K67" s="15">
        <f>SUM(C67:J67)</f>
        <v>8.25</v>
      </c>
      <c r="L67" s="15">
        <v>24</v>
      </c>
      <c r="M67" s="24">
        <f t="shared" si="14"/>
        <v>34.375</v>
      </c>
      <c r="N67" s="35">
        <v>24</v>
      </c>
      <c r="O67" s="24">
        <f t="shared" si="7"/>
        <v>34.375</v>
      </c>
    </row>
    <row r="68" spans="2:15" x14ac:dyDescent="0.25">
      <c r="E68" t="s">
        <v>109</v>
      </c>
      <c r="F68" t="s">
        <v>110</v>
      </c>
      <c r="K68" s="55"/>
      <c r="M68" s="56"/>
      <c r="N68" s="57"/>
      <c r="O68" s="56"/>
    </row>
    <row r="69" spans="2:15" x14ac:dyDescent="0.25">
      <c r="B69" s="16" t="s">
        <v>123</v>
      </c>
      <c r="C69" s="15">
        <f>0.4*E20</f>
        <v>4.8000000000000007</v>
      </c>
      <c r="D69" s="15">
        <v>1.52</v>
      </c>
      <c r="E69" s="15">
        <f>0.05*H27</f>
        <v>2</v>
      </c>
      <c r="F69" s="15">
        <f>0.1*H28</f>
        <v>2.8000000000000003</v>
      </c>
      <c r="G69" s="1"/>
      <c r="H69" s="1"/>
      <c r="I69" s="1"/>
      <c r="J69" s="1">
        <v>0.7</v>
      </c>
      <c r="K69" s="15">
        <f t="shared" ref="K69" si="15">SUM(C69:J69)</f>
        <v>11.82</v>
      </c>
      <c r="L69" s="15">
        <v>40</v>
      </c>
      <c r="M69" s="24">
        <f t="shared" si="14"/>
        <v>29.55</v>
      </c>
      <c r="N69" s="35">
        <v>40</v>
      </c>
      <c r="O69" s="24">
        <f t="shared" si="7"/>
        <v>29.55</v>
      </c>
    </row>
    <row r="70" spans="2:15" x14ac:dyDescent="0.25">
      <c r="M70" s="30"/>
      <c r="O70" s="30"/>
    </row>
    <row r="71" spans="2:15" ht="16.5" thickBot="1" x14ac:dyDescent="0.3">
      <c r="M71" s="30"/>
      <c r="O71" s="30"/>
    </row>
    <row r="72" spans="2:15" x14ac:dyDescent="0.25">
      <c r="B72" s="46" t="s">
        <v>98</v>
      </c>
      <c r="C72" s="47" t="s">
        <v>100</v>
      </c>
      <c r="D72" s="47" t="s">
        <v>101</v>
      </c>
      <c r="E72" s="47" t="s">
        <v>102</v>
      </c>
      <c r="F72" s="47" t="s">
        <v>29</v>
      </c>
      <c r="G72" s="47" t="s">
        <v>103</v>
      </c>
      <c r="H72" s="47"/>
      <c r="I72" s="47"/>
      <c r="J72" s="47"/>
      <c r="K72" s="47" t="s">
        <v>44</v>
      </c>
      <c r="L72" s="47" t="s">
        <v>105</v>
      </c>
      <c r="M72" s="48" t="s">
        <v>83</v>
      </c>
      <c r="N72" s="47" t="s">
        <v>104</v>
      </c>
      <c r="O72" s="49" t="s">
        <v>84</v>
      </c>
    </row>
    <row r="73" spans="2:15" x14ac:dyDescent="0.25">
      <c r="B73" s="39" t="s">
        <v>33</v>
      </c>
      <c r="C73" s="26">
        <f>0.15*E22</f>
        <v>2.6999999999999997</v>
      </c>
      <c r="D73" s="26">
        <v>1</v>
      </c>
      <c r="E73" s="26">
        <v>1</v>
      </c>
      <c r="F73" s="26">
        <f>(0.1*E20)</f>
        <v>1.2000000000000002</v>
      </c>
      <c r="G73" s="26">
        <v>3</v>
      </c>
      <c r="K73" s="26">
        <f>SUM(C74:J74)</f>
        <v>12.95</v>
      </c>
      <c r="L73" s="26">
        <v>24</v>
      </c>
      <c r="M73" s="30">
        <f>(K73*100)/L73</f>
        <v>53.958333333333336</v>
      </c>
      <c r="N73" s="51">
        <v>29</v>
      </c>
      <c r="O73" s="40">
        <f>(K73*100)/N73</f>
        <v>44.655172413793103</v>
      </c>
    </row>
    <row r="74" spans="2:15" x14ac:dyDescent="0.25">
      <c r="B74" s="39" t="s">
        <v>36</v>
      </c>
      <c r="C74" s="26">
        <f>0.15*E24</f>
        <v>6.75</v>
      </c>
      <c r="D74" s="26">
        <v>1</v>
      </c>
      <c r="E74" s="26">
        <v>1</v>
      </c>
      <c r="F74" s="26">
        <f>0.1*E20</f>
        <v>1.2000000000000002</v>
      </c>
      <c r="G74" s="26">
        <v>3</v>
      </c>
      <c r="K74" s="26">
        <f>SUM(C75:J75)</f>
        <v>9.5</v>
      </c>
      <c r="L74" s="26">
        <v>29</v>
      </c>
      <c r="M74" s="30">
        <f t="shared" ref="M74:M75" si="16">(K74*100)/L74</f>
        <v>32.758620689655174</v>
      </c>
      <c r="N74" s="51">
        <v>32</v>
      </c>
      <c r="O74" s="40">
        <f t="shared" ref="O74:O75" si="17">(K74*100)/N74</f>
        <v>29.6875</v>
      </c>
    </row>
    <row r="75" spans="2:15" ht="16.5" thickBot="1" x14ac:dyDescent="0.3">
      <c r="B75" s="41" t="s">
        <v>99</v>
      </c>
      <c r="C75" s="42">
        <f>(0.15*E25)</f>
        <v>3.3</v>
      </c>
      <c r="D75" s="42">
        <v>1</v>
      </c>
      <c r="E75" s="42">
        <v>1</v>
      </c>
      <c r="F75" s="42">
        <f>0.1*E20</f>
        <v>1.2000000000000002</v>
      </c>
      <c r="G75" s="42">
        <v>3</v>
      </c>
      <c r="H75" s="43"/>
      <c r="I75" s="43"/>
      <c r="J75" s="43"/>
      <c r="K75" s="42">
        <f>SUM(C76:J76)</f>
        <v>0</v>
      </c>
      <c r="L75" s="42">
        <v>27</v>
      </c>
      <c r="M75" s="44">
        <f t="shared" si="16"/>
        <v>0</v>
      </c>
      <c r="N75" s="52">
        <v>29</v>
      </c>
      <c r="O75" s="45">
        <f t="shared" si="17"/>
        <v>0</v>
      </c>
    </row>
    <row r="76" spans="2:15" x14ac:dyDescent="0.25">
      <c r="M76" s="30"/>
      <c r="O76" s="30"/>
    </row>
    <row r="77" spans="2:15" x14ac:dyDescent="0.25">
      <c r="O77" s="30"/>
    </row>
    <row r="79" spans="2:15" x14ac:dyDescent="0.25">
      <c r="E79" t="s">
        <v>124</v>
      </c>
    </row>
    <row r="80" spans="2:15" x14ac:dyDescent="0.25">
      <c r="D80" t="s">
        <v>114</v>
      </c>
      <c r="E80" t="s">
        <v>115</v>
      </c>
      <c r="F80" s="58">
        <v>6</v>
      </c>
    </row>
    <row r="81" spans="4:13" x14ac:dyDescent="0.25">
      <c r="D81" t="s">
        <v>116</v>
      </c>
      <c r="E81" t="s">
        <v>117</v>
      </c>
      <c r="F81" s="58">
        <v>2</v>
      </c>
      <c r="M81" t="s">
        <v>106</v>
      </c>
    </row>
    <row r="82" spans="4:13" x14ac:dyDescent="0.25">
      <c r="D82" t="s">
        <v>122</v>
      </c>
      <c r="E82" t="s">
        <v>118</v>
      </c>
      <c r="F82" s="58">
        <v>2.8</v>
      </c>
      <c r="M82" s="30">
        <f>AVERAGE(M33:M67,M73:M75)</f>
        <v>37.365615932227641</v>
      </c>
    </row>
    <row r="83" spans="4:13" x14ac:dyDescent="0.25">
      <c r="D83" t="s">
        <v>103</v>
      </c>
      <c r="E83" t="s">
        <v>45</v>
      </c>
      <c r="F83" s="58">
        <v>1.52</v>
      </c>
    </row>
    <row r="84" spans="4:13" x14ac:dyDescent="0.25">
      <c r="D84" t="s">
        <v>43</v>
      </c>
      <c r="F84" s="58">
        <v>0.75</v>
      </c>
      <c r="G84" t="s">
        <v>119</v>
      </c>
    </row>
    <row r="85" spans="4:13" x14ac:dyDescent="0.25">
      <c r="E85" t="s">
        <v>121</v>
      </c>
      <c r="F85" s="62">
        <f>SUM(F80:F84)</f>
        <v>13.07</v>
      </c>
      <c r="G85" s="60">
        <v>39</v>
      </c>
    </row>
    <row r="86" spans="4:13" x14ac:dyDescent="0.25">
      <c r="G86" s="59" t="s">
        <v>120</v>
      </c>
    </row>
    <row r="87" spans="4:13" x14ac:dyDescent="0.25">
      <c r="G87" s="61">
        <f>((F85*100)/G85)</f>
        <v>33.512820512820511</v>
      </c>
    </row>
  </sheetData>
  <mergeCells count="6">
    <mergeCell ref="J24:J25"/>
    <mergeCell ref="A1:B1"/>
    <mergeCell ref="D1:E1"/>
    <mergeCell ref="G1:L1"/>
    <mergeCell ref="G15:H15"/>
    <mergeCell ref="I15:K15"/>
  </mergeCells>
  <pageMargins left="0.511811024" right="0.511811024" top="0.78740157499999996" bottom="0.78740157499999996" header="0.31496062000000002" footer="0.31496062000000002"/>
  <pageSetup paperSize="9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B639-D1E9-FC47-B996-C4208924DAB9}">
  <sheetPr codeName="Planilha2"/>
  <dimension ref="A1:T131"/>
  <sheetViews>
    <sheetView tabSelected="1" topLeftCell="A4" zoomScale="85" zoomScaleNormal="85" workbookViewId="0">
      <pane xSplit="1" topLeftCell="B1" activePane="topRight" state="frozen"/>
      <selection activeCell="A16" sqref="A16"/>
      <selection pane="topRight" activeCell="M8" sqref="M8"/>
    </sheetView>
  </sheetViews>
  <sheetFormatPr defaultColWidth="10.875" defaultRowHeight="15.75" x14ac:dyDescent="0.25"/>
  <cols>
    <col min="1" max="1" width="27.75" bestFit="1" customWidth="1"/>
    <col min="2" max="2" width="12.75" bestFit="1" customWidth="1"/>
    <col min="3" max="3" width="27" bestFit="1" customWidth="1"/>
    <col min="4" max="4" width="11.875" bestFit="1" customWidth="1"/>
    <col min="5" max="5" width="10.125" bestFit="1" customWidth="1"/>
    <col min="6" max="6" width="14.875" bestFit="1" customWidth="1"/>
    <col min="7" max="8" width="9.5" bestFit="1" customWidth="1"/>
    <col min="9" max="9" width="14.625" bestFit="1" customWidth="1"/>
    <col min="10" max="10" width="15.875" bestFit="1" customWidth="1"/>
    <col min="11" max="11" width="18.75" bestFit="1" customWidth="1"/>
    <col min="12" max="12" width="15.75" bestFit="1" customWidth="1"/>
    <col min="13" max="13" width="13.125" bestFit="1" customWidth="1"/>
    <col min="14" max="14" width="10.375" bestFit="1" customWidth="1"/>
    <col min="15" max="15" width="17.875" bestFit="1" customWidth="1"/>
    <col min="16" max="16" width="10.625" style="59" bestFit="1" customWidth="1"/>
    <col min="17" max="17" width="10.625" bestFit="1" customWidth="1"/>
    <col min="18" max="18" width="9.5" bestFit="1" customWidth="1"/>
    <col min="19" max="19" width="5.75" bestFit="1" customWidth="1"/>
    <col min="20" max="20" width="10.125" bestFit="1" customWidth="1"/>
  </cols>
  <sheetData>
    <row r="1" spans="1:19" ht="25.5" customHeight="1" x14ac:dyDescent="0.25">
      <c r="A1" s="104" t="s">
        <v>139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91"/>
      <c r="S1" s="91"/>
    </row>
    <row r="2" spans="1:19" ht="24.75" customHeight="1" x14ac:dyDescent="0.25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91"/>
      <c r="S2" s="91"/>
    </row>
    <row r="3" spans="1:19" ht="24.75" customHeight="1" x14ac:dyDescent="0.25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91"/>
      <c r="S3" s="91"/>
    </row>
    <row r="4" spans="1:19" ht="15.75" customHeight="1" x14ac:dyDescent="0.25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</row>
    <row r="5" spans="1:19" x14ac:dyDescent="0.25">
      <c r="A5" s="11" t="s">
        <v>25</v>
      </c>
      <c r="B5" s="11" t="s">
        <v>26</v>
      </c>
      <c r="C5" s="11" t="s">
        <v>52</v>
      </c>
      <c r="D5" s="11" t="s">
        <v>27</v>
      </c>
      <c r="F5" s="92" t="s">
        <v>25</v>
      </c>
      <c r="G5" s="92" t="s">
        <v>28</v>
      </c>
      <c r="I5" s="11" t="s">
        <v>25</v>
      </c>
      <c r="J5" s="11" t="s">
        <v>28</v>
      </c>
      <c r="K5" s="98">
        <v>0.5</v>
      </c>
      <c r="L5" s="13" t="s">
        <v>84</v>
      </c>
    </row>
    <row r="6" spans="1:19" x14ac:dyDescent="0.25">
      <c r="A6" s="67" t="s">
        <v>29</v>
      </c>
      <c r="B6" s="14">
        <v>0.25</v>
      </c>
      <c r="C6" s="21">
        <v>13.98</v>
      </c>
      <c r="D6" s="15">
        <f>(C6+B6*C6)</f>
        <v>17.475000000000001</v>
      </c>
      <c r="F6" s="67" t="s">
        <v>30</v>
      </c>
      <c r="G6" s="21">
        <v>0.56000000000000005</v>
      </c>
      <c r="I6" s="67" t="s">
        <v>63</v>
      </c>
      <c r="J6" s="21">
        <v>8.99</v>
      </c>
      <c r="K6" s="26">
        <f>J6/0.5</f>
        <v>17.98</v>
      </c>
      <c r="L6" s="53">
        <v>35</v>
      </c>
    </row>
    <row r="7" spans="1:19" x14ac:dyDescent="0.25">
      <c r="A7" s="67" t="s">
        <v>31</v>
      </c>
      <c r="B7" s="14">
        <v>0.45</v>
      </c>
      <c r="C7" s="21">
        <v>5</v>
      </c>
      <c r="D7" s="15">
        <f t="shared" ref="D7:D16" si="0">(C7+B7*C7)</f>
        <v>7.25</v>
      </c>
      <c r="F7" s="67" t="s">
        <v>32</v>
      </c>
      <c r="G7" s="21">
        <v>3.19</v>
      </c>
      <c r="I7" s="67" t="s">
        <v>61</v>
      </c>
      <c r="J7" s="21">
        <v>4.05</v>
      </c>
      <c r="K7" s="26">
        <f t="shared" ref="K7:K8" si="1">J7/0.5</f>
        <v>8.1</v>
      </c>
      <c r="L7" s="13" t="s">
        <v>107</v>
      </c>
    </row>
    <row r="8" spans="1:19" x14ac:dyDescent="0.25">
      <c r="A8" s="67" t="s">
        <v>33</v>
      </c>
      <c r="B8" s="14">
        <v>0.17</v>
      </c>
      <c r="C8" s="21">
        <v>13.62</v>
      </c>
      <c r="D8" s="15">
        <f t="shared" si="0"/>
        <v>15.9354</v>
      </c>
      <c r="F8" s="67" t="s">
        <v>34</v>
      </c>
      <c r="G8" s="21">
        <v>7</v>
      </c>
      <c r="I8" s="67" t="s">
        <v>62</v>
      </c>
      <c r="J8" s="21">
        <v>3.06</v>
      </c>
      <c r="K8" s="26">
        <f t="shared" si="1"/>
        <v>6.12</v>
      </c>
      <c r="L8" s="96">
        <f>AVERAGE(N22:N25,N27:N28,N30:N31,N33:N34,N36:N37,N39:N41,N43:N45,N47:N54,N56:N57,N59,N61:N62,N64:N65,N67:N68,N70:N71,N73:N74,N76:N77)/100</f>
        <v>0.34983584570938736</v>
      </c>
      <c r="M8" s="93">
        <f>AVERAGE(P22:P25,P27:P28,P30:P31,P33:P34,P36:P37,P39:P41,P43:P45,P47:P54,P56:P57,P59,P61:P62,P64:P65,P67:P68,P70:P71,P73:P74,P76:P77)</f>
        <v>0.1619993198907779</v>
      </c>
    </row>
    <row r="9" spans="1:19" x14ac:dyDescent="0.25">
      <c r="A9" s="67" t="s">
        <v>35</v>
      </c>
      <c r="B9" s="14">
        <v>0</v>
      </c>
      <c r="C9" s="21">
        <v>11.95</v>
      </c>
      <c r="D9" s="15">
        <f t="shared" si="0"/>
        <v>11.95</v>
      </c>
      <c r="F9" s="67" t="s">
        <v>58</v>
      </c>
      <c r="G9" s="21">
        <v>0.5</v>
      </c>
    </row>
    <row r="10" spans="1:19" x14ac:dyDescent="0.25">
      <c r="A10" s="67" t="s">
        <v>36</v>
      </c>
      <c r="B10" s="14">
        <v>0.05</v>
      </c>
      <c r="C10" s="21">
        <v>55</v>
      </c>
      <c r="D10" s="15">
        <f t="shared" si="0"/>
        <v>57.75</v>
      </c>
      <c r="F10" s="67" t="s">
        <v>60</v>
      </c>
      <c r="G10" s="21">
        <v>22.75</v>
      </c>
      <c r="I10" s="103" t="s">
        <v>54</v>
      </c>
      <c r="J10" s="31" t="s">
        <v>64</v>
      </c>
      <c r="K10" s="32" t="s">
        <v>65</v>
      </c>
      <c r="L10" s="33" t="s">
        <v>66</v>
      </c>
    </row>
    <row r="11" spans="1:19" x14ac:dyDescent="0.25">
      <c r="A11" s="67" t="s">
        <v>37</v>
      </c>
      <c r="B11" s="14">
        <v>0.3</v>
      </c>
      <c r="C11" s="21">
        <v>24.76</v>
      </c>
      <c r="D11" s="15">
        <f t="shared" si="0"/>
        <v>32.188000000000002</v>
      </c>
      <c r="I11" s="103"/>
      <c r="J11" s="21">
        <f>174.9*15</f>
        <v>2623.5</v>
      </c>
      <c r="K11" s="34">
        <v>988.75</v>
      </c>
      <c r="L11" s="21">
        <f>(J11/K11)</f>
        <v>2.6533501896333753</v>
      </c>
    </row>
    <row r="12" spans="1:19" x14ac:dyDescent="0.25">
      <c r="A12" s="67" t="s">
        <v>96</v>
      </c>
      <c r="B12" s="14">
        <v>0.1</v>
      </c>
      <c r="C12" s="21">
        <v>18.71</v>
      </c>
      <c r="D12" s="15">
        <f t="shared" si="0"/>
        <v>20.581</v>
      </c>
      <c r="G12" s="26"/>
      <c r="K12" s="30"/>
    </row>
    <row r="13" spans="1:19" x14ac:dyDescent="0.25">
      <c r="A13" s="67" t="s">
        <v>176</v>
      </c>
      <c r="B13" s="14">
        <v>0.05</v>
      </c>
      <c r="C13" s="21">
        <v>31.8</v>
      </c>
      <c r="D13" s="15">
        <f t="shared" si="0"/>
        <v>33.39</v>
      </c>
      <c r="G13" s="26"/>
      <c r="K13" s="30"/>
    </row>
    <row r="14" spans="1:19" x14ac:dyDescent="0.25">
      <c r="A14" s="67" t="s">
        <v>95</v>
      </c>
      <c r="B14" s="14">
        <v>0</v>
      </c>
      <c r="C14" s="21">
        <v>37.14</v>
      </c>
      <c r="D14" s="15">
        <f t="shared" si="0"/>
        <v>37.14</v>
      </c>
      <c r="G14" s="26"/>
      <c r="K14" s="30"/>
    </row>
    <row r="15" spans="1:19" x14ac:dyDescent="0.25">
      <c r="A15" s="67" t="s">
        <v>90</v>
      </c>
      <c r="B15" s="14">
        <v>0</v>
      </c>
      <c r="C15" s="21">
        <v>16.02</v>
      </c>
      <c r="D15" s="15">
        <f t="shared" si="0"/>
        <v>16.02</v>
      </c>
      <c r="G15" s="26"/>
      <c r="K15" s="30"/>
    </row>
    <row r="16" spans="1:19" x14ac:dyDescent="0.25">
      <c r="A16" s="67" t="s">
        <v>131</v>
      </c>
      <c r="B16" s="14">
        <v>0.08</v>
      </c>
      <c r="C16" s="21">
        <v>42.99</v>
      </c>
      <c r="D16" s="15">
        <f t="shared" si="0"/>
        <v>46.429200000000002</v>
      </c>
      <c r="G16" s="26"/>
      <c r="K16" s="30"/>
    </row>
    <row r="17" spans="1:20" x14ac:dyDescent="0.25">
      <c r="A17" s="67" t="s">
        <v>140</v>
      </c>
      <c r="B17" s="14">
        <v>0.12</v>
      </c>
      <c r="C17" s="21">
        <v>25.49</v>
      </c>
      <c r="D17" s="15">
        <f t="shared" ref="D17" si="2">(C17+B17*C17)</f>
        <v>28.5488</v>
      </c>
      <c r="G17" s="26"/>
      <c r="K17" s="30"/>
    </row>
    <row r="18" spans="1:20" x14ac:dyDescent="0.25">
      <c r="A18" s="67" t="s">
        <v>59</v>
      </c>
      <c r="B18" s="14">
        <v>0</v>
      </c>
      <c r="C18" s="21">
        <v>19.98</v>
      </c>
      <c r="D18" s="15">
        <f t="shared" ref="D18" si="3">(C18+B18*C18)</f>
        <v>19.98</v>
      </c>
      <c r="G18" s="26"/>
      <c r="K18" s="30"/>
    </row>
    <row r="19" spans="1:20" x14ac:dyDescent="0.25">
      <c r="A19" s="68" t="s">
        <v>183</v>
      </c>
      <c r="B19" s="14">
        <v>0</v>
      </c>
      <c r="C19" s="21">
        <v>13.9</v>
      </c>
      <c r="D19" s="15">
        <f t="shared" ref="D19" si="4">(C19+B19*C19)</f>
        <v>13.9</v>
      </c>
      <c r="G19" s="26"/>
      <c r="K19" s="30"/>
    </row>
    <row r="20" spans="1:20" x14ac:dyDescent="0.25">
      <c r="Q20" s="26"/>
      <c r="R20" s="74"/>
      <c r="T20" s="74"/>
    </row>
    <row r="21" spans="1:20" x14ac:dyDescent="0.25">
      <c r="A21" s="99" t="s">
        <v>33</v>
      </c>
      <c r="B21" s="73" t="s">
        <v>38</v>
      </c>
      <c r="C21" s="73" t="s">
        <v>24</v>
      </c>
      <c r="D21" s="73" t="s">
        <v>30</v>
      </c>
      <c r="E21" s="73" t="s">
        <v>39</v>
      </c>
      <c r="F21" s="73" t="s">
        <v>40</v>
      </c>
      <c r="G21" s="73" t="s">
        <v>41</v>
      </c>
      <c r="H21" s="73" t="s">
        <v>42</v>
      </c>
      <c r="I21" s="73" t="s">
        <v>43</v>
      </c>
      <c r="J21" s="73" t="s">
        <v>44</v>
      </c>
      <c r="K21" s="73" t="s">
        <v>78</v>
      </c>
      <c r="L21" s="73" t="s">
        <v>84</v>
      </c>
      <c r="M21" s="73" t="s">
        <v>105</v>
      </c>
      <c r="N21" s="73" t="s">
        <v>84</v>
      </c>
      <c r="O21" s="78" t="s">
        <v>166</v>
      </c>
      <c r="P21" s="73" t="s">
        <v>143</v>
      </c>
      <c r="Q21" s="73" t="s">
        <v>130</v>
      </c>
      <c r="R21" s="94"/>
      <c r="S21" s="80"/>
      <c r="T21" s="80"/>
    </row>
    <row r="22" spans="1:20" x14ac:dyDescent="0.25">
      <c r="A22" s="84" t="s">
        <v>146</v>
      </c>
      <c r="B22" s="15">
        <f>(0.42*$D$8)</f>
        <v>6.6928679999999998</v>
      </c>
      <c r="C22" s="69">
        <v>1.52</v>
      </c>
      <c r="D22" s="15">
        <f>(1*$G$6)</f>
        <v>0.56000000000000005</v>
      </c>
      <c r="E22" s="15">
        <f>(0.15*$G$7)</f>
        <v>0.47849999999999998</v>
      </c>
      <c r="F22" s="15">
        <f>(0.15*$G$8)</f>
        <v>1.05</v>
      </c>
      <c r="G22" s="15">
        <f>(0.15*$D$6)</f>
        <v>2.6212500000000003</v>
      </c>
      <c r="H22" s="15">
        <f>(2*1.5)</f>
        <v>3</v>
      </c>
      <c r="I22" s="15">
        <v>0.7</v>
      </c>
      <c r="J22" s="15">
        <f>SUM(B22:I22)</f>
        <v>16.622618000000003</v>
      </c>
      <c r="K22" s="85">
        <v>47.493547825693881</v>
      </c>
      <c r="L22" s="24">
        <f>((J22*100)/K22)</f>
        <v>34.999739461466831</v>
      </c>
      <c r="M22" s="69">
        <v>49.9</v>
      </c>
      <c r="N22" s="24">
        <f>((J22*100/O22))</f>
        <v>30.277992714025505</v>
      </c>
      <c r="O22" s="79">
        <v>54.9</v>
      </c>
      <c r="P22" s="75">
        <f>O22/M22-1</f>
        <v>0.10020040080160331</v>
      </c>
      <c r="Q22" s="15">
        <f>O22-M22</f>
        <v>5</v>
      </c>
      <c r="R22" s="94"/>
      <c r="S22" s="87"/>
      <c r="T22" s="87"/>
    </row>
    <row r="23" spans="1:20" x14ac:dyDescent="0.25">
      <c r="A23" s="84" t="s">
        <v>147</v>
      </c>
      <c r="B23" s="15">
        <f>(0.9*$D$8)</f>
        <v>14.34186</v>
      </c>
      <c r="C23" s="69">
        <v>2.0499999999999998</v>
      </c>
      <c r="D23" s="15">
        <f>(2*$G$6)</f>
        <v>1.1200000000000001</v>
      </c>
      <c r="E23" s="15">
        <f>(0.3*$G$7)</f>
        <v>0.95699999999999996</v>
      </c>
      <c r="F23" s="15">
        <f>(0.25*$G$8)</f>
        <v>1.75</v>
      </c>
      <c r="G23" s="15">
        <f>(0.2*$D$6)</f>
        <v>3.4950000000000006</v>
      </c>
      <c r="H23" s="15">
        <f>(3*$H$22)</f>
        <v>9</v>
      </c>
      <c r="I23" s="15">
        <f>$I$22</f>
        <v>0.7</v>
      </c>
      <c r="J23" s="15">
        <f>SUM(B23:I23)</f>
        <v>33.413860000000007</v>
      </c>
      <c r="K23" s="85">
        <v>95.469097605599231</v>
      </c>
      <c r="L23" s="24">
        <f t="shared" ref="L23:L51" si="5">((J23*100)/K23)</f>
        <v>34.999660453520718</v>
      </c>
      <c r="M23" s="69">
        <v>84.9</v>
      </c>
      <c r="N23" s="24">
        <f>((J23*100/O23))</f>
        <v>35.209546891464704</v>
      </c>
      <c r="O23" s="79">
        <v>94.9</v>
      </c>
      <c r="P23" s="75">
        <f t="shared" ref="P23:P54" si="6">O23/M23-1</f>
        <v>0.11778563015312127</v>
      </c>
      <c r="Q23" s="15">
        <f t="shared" ref="Q23:Q62" si="7">O23-M23</f>
        <v>10</v>
      </c>
      <c r="R23" s="94"/>
      <c r="S23" s="87"/>
      <c r="T23" s="87"/>
    </row>
    <row r="24" spans="1:20" x14ac:dyDescent="0.25">
      <c r="A24" s="84" t="s">
        <v>148</v>
      </c>
      <c r="B24" s="15">
        <f>(1.4*$D$8)</f>
        <v>22.309559999999998</v>
      </c>
      <c r="C24" s="69">
        <v>2.6</v>
      </c>
      <c r="D24" s="15">
        <f>(3*$G$6)</f>
        <v>1.6800000000000002</v>
      </c>
      <c r="E24" s="15">
        <f>(0.45*$G$7)</f>
        <v>1.4355</v>
      </c>
      <c r="F24" s="15">
        <f>(0.45*$G$8)</f>
        <v>3.15</v>
      </c>
      <c r="G24" s="15">
        <f>(0.3*$D$6)</f>
        <v>5.2425000000000006</v>
      </c>
      <c r="H24" s="15">
        <f>(4*$H$22)</f>
        <v>12</v>
      </c>
      <c r="I24" s="15">
        <f>$I$22</f>
        <v>0.7</v>
      </c>
      <c r="J24" s="15">
        <f>SUM(B24:I24)</f>
        <v>49.117560000000005</v>
      </c>
      <c r="K24" s="85">
        <v>140.33759711492988</v>
      </c>
      <c r="L24" s="24">
        <f t="shared" si="5"/>
        <v>34.999573179078332</v>
      </c>
      <c r="M24" s="69">
        <v>99.9</v>
      </c>
      <c r="N24" s="24">
        <f>((J24*100/O24))</f>
        <v>44.692957233848951</v>
      </c>
      <c r="O24" s="79">
        <v>109.9</v>
      </c>
      <c r="P24" s="75">
        <f t="shared" si="6"/>
        <v>0.10010010010010006</v>
      </c>
      <c r="Q24" s="15">
        <f t="shared" si="7"/>
        <v>10</v>
      </c>
      <c r="R24" s="94"/>
      <c r="S24" s="87"/>
      <c r="T24" s="87"/>
    </row>
    <row r="25" spans="1:20" x14ac:dyDescent="0.25">
      <c r="A25" s="84" t="s">
        <v>149</v>
      </c>
      <c r="B25" s="15">
        <f>(0.25*$D$8)</f>
        <v>3.9838499999999999</v>
      </c>
      <c r="C25" s="69">
        <v>1.33</v>
      </c>
      <c r="D25" s="15">
        <f>(1*$G$6)</f>
        <v>0.56000000000000005</v>
      </c>
      <c r="E25" s="15">
        <f>(0.1*$G$7)</f>
        <v>0.31900000000000001</v>
      </c>
      <c r="F25" s="15">
        <f>(0.1*$G$8)</f>
        <v>0.70000000000000007</v>
      </c>
      <c r="G25" s="15">
        <f>(0.08*$D$6)</f>
        <v>1.3980000000000001</v>
      </c>
      <c r="H25" s="15">
        <f>$H$22</f>
        <v>3</v>
      </c>
      <c r="I25" s="15">
        <f>$I$22</f>
        <v>0.7</v>
      </c>
      <c r="J25" s="15">
        <f>SUM(B25:I25)</f>
        <v>11.99085</v>
      </c>
      <c r="K25" s="85">
        <v>34.259680518406725</v>
      </c>
      <c r="L25" s="24">
        <f t="shared" si="5"/>
        <v>34.999888552835941</v>
      </c>
      <c r="M25" s="69">
        <v>36.9</v>
      </c>
      <c r="N25" s="24">
        <f>((J25*100/O25))</f>
        <v>27.950699300699302</v>
      </c>
      <c r="O25" s="79">
        <v>42.9</v>
      </c>
      <c r="P25" s="75">
        <f t="shared" si="6"/>
        <v>0.16260162601626016</v>
      </c>
      <c r="Q25" s="15">
        <f t="shared" si="7"/>
        <v>6</v>
      </c>
      <c r="R25" s="94"/>
      <c r="S25" s="87"/>
      <c r="T25" s="87"/>
    </row>
    <row r="26" spans="1:20" x14ac:dyDescent="0.25">
      <c r="A26" s="99" t="s">
        <v>36</v>
      </c>
      <c r="B26" s="15"/>
      <c r="C26" s="15"/>
      <c r="D26" s="15"/>
      <c r="E26" s="15"/>
      <c r="F26" s="15"/>
      <c r="G26" s="15"/>
      <c r="H26" s="15"/>
      <c r="I26" s="15"/>
      <c r="J26" s="15"/>
      <c r="K26" s="86"/>
      <c r="L26" s="24"/>
      <c r="M26" s="15"/>
      <c r="N26" s="24"/>
      <c r="O26" s="15"/>
      <c r="P26" s="76"/>
      <c r="Q26" s="15"/>
      <c r="R26" s="94"/>
      <c r="T26" s="88"/>
    </row>
    <row r="27" spans="1:20" x14ac:dyDescent="0.25">
      <c r="A27" s="84" t="s">
        <v>150</v>
      </c>
      <c r="B27" s="15">
        <f>(0.42*$D$10)</f>
        <v>24.254999999999999</v>
      </c>
      <c r="C27" s="15">
        <f>$C$22</f>
        <v>1.52</v>
      </c>
      <c r="D27" s="15">
        <f>(2*$G$6)</f>
        <v>1.1200000000000001</v>
      </c>
      <c r="E27" s="15">
        <f>(0.15*$G$7)</f>
        <v>0.47849999999999998</v>
      </c>
      <c r="F27" s="15">
        <f>(0.15*$G$8)</f>
        <v>1.05</v>
      </c>
      <c r="G27" s="15">
        <f>(0.15*$D$6)</f>
        <v>2.6212500000000003</v>
      </c>
      <c r="H27" s="15">
        <f>$H$22</f>
        <v>3</v>
      </c>
      <c r="I27" s="15">
        <f>$I$22</f>
        <v>0.7</v>
      </c>
      <c r="J27" s="15">
        <f>SUM(B27:I27)</f>
        <v>34.744750000000003</v>
      </c>
      <c r="K27" s="85">
        <v>99.27316438284322</v>
      </c>
      <c r="L27" s="24">
        <f t="shared" si="5"/>
        <v>34.999136187508022</v>
      </c>
      <c r="M27" s="69">
        <v>69.900000000000006</v>
      </c>
      <c r="N27" s="24">
        <f>((J27*100/O27))</f>
        <v>40.924322732626621</v>
      </c>
      <c r="O27" s="79">
        <v>84.9</v>
      </c>
      <c r="P27" s="75">
        <f t="shared" si="6"/>
        <v>0.21459227467811148</v>
      </c>
      <c r="Q27" s="15">
        <f t="shared" si="7"/>
        <v>15</v>
      </c>
      <c r="R27" s="94"/>
      <c r="S27" s="87"/>
      <c r="T27" s="87"/>
    </row>
    <row r="28" spans="1:20" x14ac:dyDescent="0.25">
      <c r="A28" s="84" t="s">
        <v>151</v>
      </c>
      <c r="B28" s="15">
        <f>(0.25*$D$10)</f>
        <v>14.4375</v>
      </c>
      <c r="C28" s="15">
        <f>$C$25</f>
        <v>1.33</v>
      </c>
      <c r="D28" s="15">
        <f>(1*$G$6)</f>
        <v>0.56000000000000005</v>
      </c>
      <c r="E28" s="15">
        <f>(0.1*$G$7)</f>
        <v>0.31900000000000001</v>
      </c>
      <c r="F28" s="15">
        <f>(0.1*$G$8)</f>
        <v>0.70000000000000007</v>
      </c>
      <c r="G28" s="15">
        <f>(0.08*$D$6)</f>
        <v>1.3980000000000001</v>
      </c>
      <c r="H28" s="15">
        <f>$H$25</f>
        <v>3</v>
      </c>
      <c r="I28" s="15">
        <f>$I$22</f>
        <v>0.7</v>
      </c>
      <c r="J28" s="15">
        <f>SUM(B28:I28)</f>
        <v>22.444499999999998</v>
      </c>
      <c r="K28" s="85">
        <v>64.128727272507504</v>
      </c>
      <c r="L28" s="24">
        <f t="shared" ref="L28" si="8">((J28*100)/K28)</f>
        <v>34.999135262149721</v>
      </c>
      <c r="M28" s="69">
        <v>49.9</v>
      </c>
      <c r="N28" s="24">
        <f>((J28*100/O28))</f>
        <v>35.682829888712241</v>
      </c>
      <c r="O28" s="79">
        <v>62.9</v>
      </c>
      <c r="P28" s="75">
        <f t="shared" si="6"/>
        <v>0.26052104208416837</v>
      </c>
      <c r="Q28" s="15">
        <f t="shared" si="7"/>
        <v>13</v>
      </c>
      <c r="R28" s="94"/>
      <c r="S28" s="87"/>
      <c r="T28" s="87"/>
    </row>
    <row r="29" spans="1:20" x14ac:dyDescent="0.25">
      <c r="A29" s="99" t="s">
        <v>131</v>
      </c>
      <c r="B29" s="15"/>
      <c r="C29" s="15"/>
      <c r="D29" s="15"/>
      <c r="E29" s="15"/>
      <c r="F29" s="15"/>
      <c r="G29" s="15"/>
      <c r="H29" s="15"/>
      <c r="I29" s="15"/>
      <c r="J29" s="15"/>
      <c r="K29" s="86"/>
      <c r="L29" s="24"/>
      <c r="M29" s="15"/>
      <c r="N29" s="24"/>
      <c r="O29" s="15"/>
      <c r="P29" s="76"/>
      <c r="Q29" s="15"/>
      <c r="R29" s="94"/>
      <c r="T29" s="88"/>
    </row>
    <row r="30" spans="1:20" x14ac:dyDescent="0.25">
      <c r="A30" s="84" t="s">
        <v>152</v>
      </c>
      <c r="B30" s="15">
        <f>(0.42*$D$16)</f>
        <v>19.500264000000001</v>
      </c>
      <c r="C30" s="15">
        <f>$C$22</f>
        <v>1.52</v>
      </c>
      <c r="D30" s="15">
        <f>(2*$G$6)</f>
        <v>1.1200000000000001</v>
      </c>
      <c r="E30" s="15">
        <f>(0.15*$G$7)</f>
        <v>0.47849999999999998</v>
      </c>
      <c r="F30" s="15">
        <f>(0.15*$G$8)</f>
        <v>1.05</v>
      </c>
      <c r="G30" s="15">
        <f>(0.15*$D$6)</f>
        <v>2.6212500000000003</v>
      </c>
      <c r="H30" s="15">
        <f>$H$22</f>
        <v>3</v>
      </c>
      <c r="I30" s="15">
        <f>$I$22</f>
        <v>0.7</v>
      </c>
      <c r="J30" s="15">
        <f>SUM(B30:I30)</f>
        <v>29.990014000000002</v>
      </c>
      <c r="K30" s="85">
        <v>85.687728745208631</v>
      </c>
      <c r="L30" s="24">
        <f t="shared" ref="L30:L31" si="9">((J30*100)/K30)</f>
        <v>34.999193512498067</v>
      </c>
      <c r="M30" s="69">
        <v>69.900000000000006</v>
      </c>
      <c r="N30" s="24">
        <f>((J30*100/O30))</f>
        <v>37.534435544430536</v>
      </c>
      <c r="O30" s="79">
        <v>79.900000000000006</v>
      </c>
      <c r="P30" s="75">
        <f t="shared" si="6"/>
        <v>0.14306151645207432</v>
      </c>
      <c r="Q30" s="15">
        <f t="shared" si="7"/>
        <v>10</v>
      </c>
      <c r="R30" s="94"/>
      <c r="S30" s="87"/>
      <c r="T30" s="87"/>
    </row>
    <row r="31" spans="1:20" x14ac:dyDescent="0.25">
      <c r="A31" s="84" t="s">
        <v>153</v>
      </c>
      <c r="B31" s="15">
        <f>(0.25*$D$16)</f>
        <v>11.6073</v>
      </c>
      <c r="C31" s="15">
        <f>$C$25</f>
        <v>1.33</v>
      </c>
      <c r="D31" s="15">
        <f>(1*$G$6)</f>
        <v>0.56000000000000005</v>
      </c>
      <c r="E31" s="15">
        <f>(0.1*$G$7)</f>
        <v>0.31900000000000001</v>
      </c>
      <c r="F31" s="15">
        <f>(0.1*$G$8)</f>
        <v>0.70000000000000007</v>
      </c>
      <c r="G31" s="15">
        <f>(0.08*$D$6)</f>
        <v>1.3980000000000001</v>
      </c>
      <c r="H31" s="15">
        <f>$H$25</f>
        <v>3</v>
      </c>
      <c r="I31" s="15">
        <f>$I$22</f>
        <v>0.7</v>
      </c>
      <c r="J31" s="15">
        <f>SUM(B31:I31)</f>
        <v>19.6143</v>
      </c>
      <c r="K31" s="85">
        <v>56.042243058129031</v>
      </c>
      <c r="L31" s="24">
        <f t="shared" si="9"/>
        <v>34.999134455869907</v>
      </c>
      <c r="M31" s="69">
        <v>49.9</v>
      </c>
      <c r="N31" s="24">
        <f>((J31*100/O31))</f>
        <v>32.745075125208686</v>
      </c>
      <c r="O31" s="79">
        <v>59.9</v>
      </c>
      <c r="P31" s="75">
        <f t="shared" si="6"/>
        <v>0.20040080160320639</v>
      </c>
      <c r="Q31" s="15">
        <f t="shared" si="7"/>
        <v>10</v>
      </c>
      <c r="R31" s="94"/>
      <c r="S31" s="87"/>
      <c r="T31" s="87"/>
    </row>
    <row r="32" spans="1:20" x14ac:dyDescent="0.25">
      <c r="A32" s="16" t="s">
        <v>140</v>
      </c>
      <c r="B32" s="15"/>
      <c r="C32" s="15"/>
      <c r="D32" s="15"/>
      <c r="E32" s="15"/>
      <c r="F32" s="15"/>
      <c r="G32" s="15"/>
      <c r="H32" s="15"/>
      <c r="I32" s="15"/>
      <c r="J32" s="15"/>
      <c r="K32" s="86"/>
      <c r="L32" s="24"/>
      <c r="M32" s="15"/>
      <c r="N32" s="24"/>
      <c r="O32" s="15"/>
      <c r="P32" s="77"/>
      <c r="Q32" s="15"/>
      <c r="R32" s="94"/>
      <c r="T32" s="88"/>
    </row>
    <row r="33" spans="1:20" x14ac:dyDescent="0.25">
      <c r="A33" s="84" t="s">
        <v>154</v>
      </c>
      <c r="B33" s="15">
        <f>(0.42*$D$17)</f>
        <v>11.990496</v>
      </c>
      <c r="C33" s="15">
        <f>$C$22</f>
        <v>1.52</v>
      </c>
      <c r="D33" s="15">
        <f>(2*$G$6)</f>
        <v>1.1200000000000001</v>
      </c>
      <c r="E33" s="15">
        <f>(0.15*$G$7)</f>
        <v>0.47849999999999998</v>
      </c>
      <c r="F33" s="15">
        <f>(0.15*$G$8)</f>
        <v>1.05</v>
      </c>
      <c r="G33" s="15">
        <f>(0.15*$D$6)</f>
        <v>2.6212500000000003</v>
      </c>
      <c r="H33" s="15">
        <f>$H$22</f>
        <v>3</v>
      </c>
      <c r="I33" s="15">
        <f>$I$22</f>
        <v>0.7</v>
      </c>
      <c r="J33" s="15">
        <f>SUM(B33:I33)</f>
        <v>22.480246000000001</v>
      </c>
      <c r="K33" s="85">
        <v>64.229277795292148</v>
      </c>
      <c r="L33" s="24">
        <f t="shared" ref="L33:L34" si="10">((J33*100)/K33)</f>
        <v>34.999998087550892</v>
      </c>
      <c r="M33" s="69">
        <v>54.9</v>
      </c>
      <c r="N33" s="24">
        <f>((J33*100/O33))</f>
        <v>32.160580829756796</v>
      </c>
      <c r="O33" s="79">
        <v>69.900000000000006</v>
      </c>
      <c r="P33" s="75">
        <f t="shared" si="6"/>
        <v>0.27322404371584708</v>
      </c>
      <c r="Q33" s="15">
        <f t="shared" si="7"/>
        <v>15.000000000000007</v>
      </c>
      <c r="R33" s="94"/>
      <c r="S33" s="87"/>
      <c r="T33" s="87"/>
    </row>
    <row r="34" spans="1:20" x14ac:dyDescent="0.25">
      <c r="A34" s="84" t="s">
        <v>155</v>
      </c>
      <c r="B34" s="15">
        <f>(0.25*$D$17)</f>
        <v>7.1372</v>
      </c>
      <c r="C34" s="15">
        <f>$C$25</f>
        <v>1.33</v>
      </c>
      <c r="D34" s="15">
        <f>(1*$G$6)</f>
        <v>0.56000000000000005</v>
      </c>
      <c r="E34" s="15">
        <f>(0.1*$G$7)</f>
        <v>0.31900000000000001</v>
      </c>
      <c r="F34" s="15">
        <f>(0.1*$G$8)</f>
        <v>0.70000000000000007</v>
      </c>
      <c r="G34" s="15">
        <f>(0.08*$D$6)</f>
        <v>1.3980000000000001</v>
      </c>
      <c r="H34" s="15">
        <f>$H$25</f>
        <v>3</v>
      </c>
      <c r="I34" s="15">
        <f>$I$22</f>
        <v>0.7</v>
      </c>
      <c r="J34" s="15">
        <f>SUM(B34:I34)</f>
        <v>15.1442</v>
      </c>
      <c r="K34" s="85">
        <v>43.270143972408846</v>
      </c>
      <c r="L34" s="24">
        <f t="shared" si="10"/>
        <v>34.999190226075235</v>
      </c>
      <c r="M34" s="69">
        <v>39.9</v>
      </c>
      <c r="N34" s="24">
        <f>((J34*100/O34))</f>
        <v>30.349098196392788</v>
      </c>
      <c r="O34" s="79">
        <v>49.9</v>
      </c>
      <c r="P34" s="75">
        <f t="shared" si="6"/>
        <v>0.25062656641604009</v>
      </c>
      <c r="Q34" s="15">
        <f t="shared" si="7"/>
        <v>10</v>
      </c>
      <c r="R34" s="94"/>
      <c r="S34" s="87"/>
      <c r="T34" s="87"/>
    </row>
    <row r="35" spans="1:20" x14ac:dyDescent="0.25">
      <c r="A35" s="99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86"/>
      <c r="L35" s="24"/>
      <c r="M35" s="15"/>
      <c r="N35" s="24"/>
      <c r="O35" s="15"/>
      <c r="P35" s="76"/>
      <c r="Q35" s="15"/>
      <c r="R35" s="94"/>
      <c r="T35" s="88"/>
    </row>
    <row r="36" spans="1:20" x14ac:dyDescent="0.25">
      <c r="A36" s="84" t="s">
        <v>156</v>
      </c>
      <c r="B36" s="15">
        <f>(0.42*$D$11)</f>
        <v>13.51896</v>
      </c>
      <c r="C36" s="15">
        <f>$C$22</f>
        <v>1.52</v>
      </c>
      <c r="D36" s="15">
        <f>(2*$G$6)</f>
        <v>1.1200000000000001</v>
      </c>
      <c r="E36" s="15">
        <f>(0.15*$G$7)</f>
        <v>0.47849999999999998</v>
      </c>
      <c r="F36" s="15">
        <f>(0.15*$G$8)</f>
        <v>1.05</v>
      </c>
      <c r="G36" s="15">
        <f>(0.15*$D$6)</f>
        <v>2.6212500000000003</v>
      </c>
      <c r="H36" s="15">
        <f>$H$22</f>
        <v>3</v>
      </c>
      <c r="I36" s="15">
        <f>$I$22</f>
        <v>0.7</v>
      </c>
      <c r="J36" s="15">
        <f>SUM(B36:I36)</f>
        <v>24.008710000000001</v>
      </c>
      <c r="K36" s="85">
        <v>68.596186262412289</v>
      </c>
      <c r="L36" s="24">
        <f t="shared" si="5"/>
        <v>35.000065321642708</v>
      </c>
      <c r="M36" s="69">
        <v>64.900000000000006</v>
      </c>
      <c r="N36" s="24">
        <f>((J36*100/O36))</f>
        <v>34.347224606580831</v>
      </c>
      <c r="O36" s="79">
        <v>69.900000000000006</v>
      </c>
      <c r="P36" s="75">
        <f t="shared" si="6"/>
        <v>7.7041602465331316E-2</v>
      </c>
      <c r="Q36" s="15">
        <f t="shared" si="7"/>
        <v>5</v>
      </c>
      <c r="R36" s="94"/>
      <c r="S36" s="87"/>
      <c r="T36" s="87"/>
    </row>
    <row r="37" spans="1:20" x14ac:dyDescent="0.25">
      <c r="A37" s="84" t="s">
        <v>157</v>
      </c>
      <c r="B37" s="15">
        <f>(0.25*$D$11)</f>
        <v>8.0470000000000006</v>
      </c>
      <c r="C37" s="15">
        <f>$C$25</f>
        <v>1.33</v>
      </c>
      <c r="D37" s="15">
        <f>(1*$G$6)</f>
        <v>0.56000000000000005</v>
      </c>
      <c r="E37" s="15">
        <f>(0.1*$G$7)</f>
        <v>0.31900000000000001</v>
      </c>
      <c r="F37" s="15">
        <f>(0.1*$G$8)</f>
        <v>0.70000000000000007</v>
      </c>
      <c r="G37" s="15">
        <f>(0.08*$D$6)</f>
        <v>1.3980000000000001</v>
      </c>
      <c r="H37" s="15">
        <f>$H$25</f>
        <v>3</v>
      </c>
      <c r="I37" s="15">
        <f>$I$22</f>
        <v>0.7</v>
      </c>
      <c r="J37" s="15">
        <f>SUM(B37:I37)</f>
        <v>16.054000000000002</v>
      </c>
      <c r="K37" s="85">
        <v>45.868525363867874</v>
      </c>
      <c r="L37" s="24">
        <f t="shared" si="5"/>
        <v>35.000035149693865</v>
      </c>
      <c r="M37" s="69">
        <v>44.9</v>
      </c>
      <c r="N37" s="24">
        <f>((J37*100/O37))</f>
        <v>32.172344689378761</v>
      </c>
      <c r="O37" s="79">
        <v>49.9</v>
      </c>
      <c r="P37" s="75">
        <f t="shared" si="6"/>
        <v>0.11135857461024501</v>
      </c>
      <c r="Q37" s="15">
        <f t="shared" si="7"/>
        <v>5</v>
      </c>
      <c r="R37" s="94"/>
      <c r="S37" s="87"/>
      <c r="T37" s="87"/>
    </row>
    <row r="38" spans="1:20" x14ac:dyDescent="0.25">
      <c r="A38" s="37" t="s">
        <v>35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24"/>
      <c r="M38" s="15"/>
      <c r="N38" s="24"/>
      <c r="O38" s="15"/>
      <c r="P38" s="76"/>
      <c r="Q38" s="15"/>
      <c r="R38" s="94"/>
      <c r="T38" s="88"/>
    </row>
    <row r="39" spans="1:20" x14ac:dyDescent="0.25">
      <c r="A39" s="84" t="s">
        <v>158</v>
      </c>
      <c r="B39" s="15">
        <f>(0.42*$D$9)</f>
        <v>5.0189999999999992</v>
      </c>
      <c r="C39" s="15">
        <f>$C$22</f>
        <v>1.52</v>
      </c>
      <c r="D39" s="15">
        <f>(2*$D$22)</f>
        <v>1.1200000000000001</v>
      </c>
      <c r="E39" s="15">
        <f>(0.15*$G$7)</f>
        <v>0.47849999999999998</v>
      </c>
      <c r="F39" s="15">
        <f>(0.15*$G$8)</f>
        <v>1.05</v>
      </c>
      <c r="G39" s="15">
        <f>(0.15*$D$6)</f>
        <v>2.6212500000000003</v>
      </c>
      <c r="H39" s="15">
        <f>(2*1.5)</f>
        <v>3</v>
      </c>
      <c r="I39" s="15">
        <f>$I$22</f>
        <v>0.7</v>
      </c>
      <c r="J39" s="15">
        <f t="shared" ref="J39:J59" si="11">SUM(B39:I39)</f>
        <v>15.508749999999999</v>
      </c>
      <c r="K39" s="85">
        <v>44.311704985290241</v>
      </c>
      <c r="L39" s="24">
        <f t="shared" si="5"/>
        <v>34.999217487001012</v>
      </c>
      <c r="M39" s="69">
        <v>44.9</v>
      </c>
      <c r="N39" s="24">
        <f>((J39*100/O39))</f>
        <v>28.249089253187616</v>
      </c>
      <c r="O39" s="79">
        <v>54.9</v>
      </c>
      <c r="P39" s="75">
        <f t="shared" si="6"/>
        <v>0.22271714922049002</v>
      </c>
      <c r="Q39" s="15">
        <f t="shared" si="7"/>
        <v>10</v>
      </c>
      <c r="R39" s="94"/>
      <c r="S39" s="87"/>
      <c r="T39" s="87"/>
    </row>
    <row r="40" spans="1:20" x14ac:dyDescent="0.25">
      <c r="A40" s="84" t="s">
        <v>159</v>
      </c>
      <c r="B40" s="15">
        <f>(0.75*$D$9)</f>
        <v>8.9624999999999986</v>
      </c>
      <c r="C40" s="15">
        <f>$C$23</f>
        <v>2.0499999999999998</v>
      </c>
      <c r="D40" s="15">
        <f>(2*$G$6)</f>
        <v>1.1200000000000001</v>
      </c>
      <c r="E40" s="15">
        <f>(0.3*$G$7)</f>
        <v>0.95699999999999996</v>
      </c>
      <c r="F40" s="15">
        <f>(0.25*$G$8)</f>
        <v>1.75</v>
      </c>
      <c r="G40" s="15">
        <f>(0.2*$D$6)</f>
        <v>3.4950000000000006</v>
      </c>
      <c r="H40" s="15">
        <f>(3*$H$22)</f>
        <v>9</v>
      </c>
      <c r="I40" s="15">
        <f>$I$22</f>
        <v>0.7</v>
      </c>
      <c r="J40" s="15">
        <f t="shared" si="11"/>
        <v>28.034500000000001</v>
      </c>
      <c r="K40" s="85">
        <v>80.099530892812169</v>
      </c>
      <c r="L40" s="24">
        <f t="shared" si="5"/>
        <v>34.99958075599131</v>
      </c>
      <c r="M40" s="69">
        <v>79.900000000000006</v>
      </c>
      <c r="N40" s="24">
        <f>((J40*100/O40))</f>
        <v>31.184093437152391</v>
      </c>
      <c r="O40" s="79">
        <v>89.9</v>
      </c>
      <c r="P40" s="75">
        <f t="shared" si="6"/>
        <v>0.12515644555694627</v>
      </c>
      <c r="Q40" s="15">
        <f t="shared" si="7"/>
        <v>10</v>
      </c>
      <c r="R40" s="94"/>
      <c r="S40" s="87"/>
      <c r="T40" s="87"/>
    </row>
    <row r="41" spans="1:20" x14ac:dyDescent="0.25">
      <c r="A41" s="84" t="s">
        <v>160</v>
      </c>
      <c r="B41" s="15">
        <f>(1*$D$9)</f>
        <v>11.95</v>
      </c>
      <c r="C41" s="15">
        <f>$C$24</f>
        <v>2.6</v>
      </c>
      <c r="D41" s="15">
        <f>(3*$G$6)</f>
        <v>1.6800000000000002</v>
      </c>
      <c r="E41" s="15">
        <f>(0.45*$G$7)</f>
        <v>1.4355</v>
      </c>
      <c r="F41" s="15">
        <f>(0.45*$G$8)</f>
        <v>3.15</v>
      </c>
      <c r="G41" s="15">
        <f>(0.3*$D$6)</f>
        <v>5.2425000000000006</v>
      </c>
      <c r="H41" s="15">
        <f>(4*$H$22)</f>
        <v>12</v>
      </c>
      <c r="I41" s="15">
        <f>$I$22</f>
        <v>0.7</v>
      </c>
      <c r="J41" s="15">
        <f t="shared" si="11"/>
        <v>38.758000000000003</v>
      </c>
      <c r="K41" s="85">
        <v>110.73701628382911</v>
      </c>
      <c r="L41" s="24">
        <f t="shared" si="5"/>
        <v>35.000040005285769</v>
      </c>
      <c r="M41" s="69">
        <v>89.9</v>
      </c>
      <c r="N41" s="24">
        <f>((J41*100/O41))</f>
        <v>36.947569113441375</v>
      </c>
      <c r="O41" s="79">
        <v>104.9</v>
      </c>
      <c r="P41" s="75">
        <f t="shared" si="6"/>
        <v>0.16685205784204671</v>
      </c>
      <c r="Q41" s="15">
        <f t="shared" si="7"/>
        <v>15</v>
      </c>
      <c r="R41" s="94"/>
      <c r="S41" s="87"/>
      <c r="T41" s="87"/>
    </row>
    <row r="42" spans="1:20" x14ac:dyDescent="0.25">
      <c r="A42" s="99" t="s">
        <v>90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24"/>
      <c r="M42" s="15"/>
      <c r="N42" s="24"/>
      <c r="O42" s="15"/>
      <c r="P42" s="77"/>
      <c r="Q42" s="15"/>
      <c r="R42" s="94"/>
      <c r="S42" s="87"/>
      <c r="T42" s="87"/>
    </row>
    <row r="43" spans="1:20" x14ac:dyDescent="0.25">
      <c r="A43" s="84" t="s">
        <v>163</v>
      </c>
      <c r="B43" s="15">
        <f>(0.42*$D$15)</f>
        <v>6.7283999999999997</v>
      </c>
      <c r="C43" s="15">
        <f>$C$22</f>
        <v>1.52</v>
      </c>
      <c r="D43" s="15">
        <f>(2*$D$22)</f>
        <v>1.1200000000000001</v>
      </c>
      <c r="E43" s="15">
        <f>(0.15*$G$7)</f>
        <v>0.47849999999999998</v>
      </c>
      <c r="F43" s="15">
        <f>(0.15*$G$8)</f>
        <v>1.05</v>
      </c>
      <c r="G43" s="15">
        <f>(0.15*$D$6)</f>
        <v>2.6212500000000003</v>
      </c>
      <c r="H43" s="15">
        <f>(2*1.5)</f>
        <v>3</v>
      </c>
      <c r="I43" s="15">
        <f>$I$22</f>
        <v>0.7</v>
      </c>
      <c r="J43" s="15">
        <f>SUM(B43:I43)</f>
        <v>17.218150000000001</v>
      </c>
      <c r="K43" s="85">
        <v>49.194948532134937</v>
      </c>
      <c r="L43" s="24">
        <f>(J43*100/K43)</f>
        <v>34.999833344175215</v>
      </c>
      <c r="M43" s="69">
        <v>49.9</v>
      </c>
      <c r="N43" s="24">
        <f>((J43*100/O43))</f>
        <v>28.744824707846412</v>
      </c>
      <c r="O43" s="79">
        <v>59.9</v>
      </c>
      <c r="P43" s="75">
        <f>O43/M43-1</f>
        <v>0.20040080160320639</v>
      </c>
      <c r="Q43" s="15">
        <f t="shared" si="7"/>
        <v>10</v>
      </c>
      <c r="R43" s="94"/>
      <c r="S43" s="87"/>
      <c r="T43" s="87"/>
    </row>
    <row r="44" spans="1:20" x14ac:dyDescent="0.25">
      <c r="A44" s="84" t="s">
        <v>164</v>
      </c>
      <c r="B44" s="15">
        <f>(0.75*$C$15)</f>
        <v>12.015000000000001</v>
      </c>
      <c r="C44" s="15">
        <f>$C$23</f>
        <v>2.0499999999999998</v>
      </c>
      <c r="D44" s="15">
        <f>(2*$G$6)</f>
        <v>1.1200000000000001</v>
      </c>
      <c r="E44" s="15">
        <f>(0.3*$G$7)</f>
        <v>0.95699999999999996</v>
      </c>
      <c r="F44" s="15">
        <f>(0.25*$G$8)</f>
        <v>1.75</v>
      </c>
      <c r="G44" s="15">
        <f>(0.2*$D$6)</f>
        <v>3.4950000000000006</v>
      </c>
      <c r="H44" s="15">
        <f>(3*$H$22)</f>
        <v>9</v>
      </c>
      <c r="I44" s="15">
        <f>$I$22</f>
        <v>0.7</v>
      </c>
      <c r="J44" s="15">
        <f>SUM(B44:I44)</f>
        <v>31.087000000000003</v>
      </c>
      <c r="K44" s="85">
        <v>88.820008334755769</v>
      </c>
      <c r="L44" s="24">
        <f t="shared" ref="L44:L45" si="12">(J44*100/K44)</f>
        <v>34.999996715644855</v>
      </c>
      <c r="M44" s="69">
        <v>84.9</v>
      </c>
      <c r="N44" s="24">
        <f>((J44*100/M44))</f>
        <v>36.616018845700822</v>
      </c>
      <c r="O44" s="79">
        <v>94.9</v>
      </c>
      <c r="P44" s="75">
        <f>O44/M44-1</f>
        <v>0.11778563015312127</v>
      </c>
      <c r="Q44" s="15">
        <f t="shared" si="7"/>
        <v>10</v>
      </c>
      <c r="R44" s="94"/>
      <c r="S44" s="87"/>
      <c r="T44" s="87"/>
    </row>
    <row r="45" spans="1:20" x14ac:dyDescent="0.25">
      <c r="A45" s="84" t="s">
        <v>165</v>
      </c>
      <c r="B45" s="15">
        <f>(1*$C$15)</f>
        <v>16.02</v>
      </c>
      <c r="C45" s="15">
        <f>$C$24</f>
        <v>2.6</v>
      </c>
      <c r="D45" s="15">
        <f>(3*$G$6)</f>
        <v>1.6800000000000002</v>
      </c>
      <c r="E45" s="15">
        <f>(0.45*$G$7)</f>
        <v>1.4355</v>
      </c>
      <c r="F45" s="15">
        <f>(0.45*$G$8)</f>
        <v>3.15</v>
      </c>
      <c r="G45" s="15">
        <f>(0.3*$D$6)</f>
        <v>5.2425000000000006</v>
      </c>
      <c r="H45" s="15">
        <f>(4*$H$22)</f>
        <v>12</v>
      </c>
      <c r="I45" s="15">
        <f>$I$22</f>
        <v>0.7</v>
      </c>
      <c r="J45" s="15">
        <f>SUM(B45:I45)</f>
        <v>42.828000000000003</v>
      </c>
      <c r="K45" s="85">
        <v>122.36573937814426</v>
      </c>
      <c r="L45" s="24">
        <f t="shared" si="12"/>
        <v>34.999992822868123</v>
      </c>
      <c r="M45" s="69">
        <v>94.9</v>
      </c>
      <c r="N45" s="24">
        <f>((J45*100/M45))</f>
        <v>45.129610115911483</v>
      </c>
      <c r="O45" s="79">
        <v>109.9</v>
      </c>
      <c r="P45" s="75">
        <f>O45/M45-1</f>
        <v>0.15806111696522662</v>
      </c>
      <c r="Q45" s="15">
        <f t="shared" si="7"/>
        <v>15</v>
      </c>
      <c r="R45" s="94"/>
      <c r="S45" s="87"/>
      <c r="T45" s="87"/>
    </row>
    <row r="46" spans="1:20" x14ac:dyDescent="0.25">
      <c r="A46" s="37" t="s">
        <v>141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24"/>
      <c r="M46" s="15"/>
      <c r="N46" s="24"/>
      <c r="O46" s="15"/>
      <c r="P46" s="76"/>
      <c r="Q46" s="15"/>
      <c r="R46" s="94"/>
      <c r="S46" s="87"/>
      <c r="T46" s="88"/>
    </row>
    <row r="47" spans="1:20" x14ac:dyDescent="0.25">
      <c r="A47" s="84" t="s">
        <v>167</v>
      </c>
      <c r="B47" s="15">
        <f>($B$25+$B$28)</f>
        <v>18.42135</v>
      </c>
      <c r="C47" s="15">
        <f>$C$22</f>
        <v>1.52</v>
      </c>
      <c r="D47" s="15">
        <f>(1*$G$6)</f>
        <v>0.56000000000000005</v>
      </c>
      <c r="E47" s="15">
        <f>(0.15*$G$7)</f>
        <v>0.47849999999999998</v>
      </c>
      <c r="F47" s="15">
        <f>(0.15*$G$8)</f>
        <v>1.05</v>
      </c>
      <c r="G47" s="15">
        <f>(0.15*$D$6)</f>
        <v>2.6212500000000003</v>
      </c>
      <c r="H47" s="15">
        <f>(2*1.5)</f>
        <v>3</v>
      </c>
      <c r="I47" s="15">
        <f t="shared" ref="I47:I54" si="13">$I$22</f>
        <v>0.7</v>
      </c>
      <c r="J47" s="15">
        <f t="shared" ref="J47:J48" si="14">SUM(B47:I47)</f>
        <v>28.351099999999999</v>
      </c>
      <c r="K47" s="85">
        <v>81.003677274777587</v>
      </c>
      <c r="L47" s="24">
        <f>(J47*100)/K47</f>
        <v>34.999769089282793</v>
      </c>
      <c r="M47" s="69">
        <v>69.900000000000006</v>
      </c>
      <c r="N47" s="24">
        <f t="shared" ref="N47:N54" si="15">((J47*100/O47))</f>
        <v>34.199155609167669</v>
      </c>
      <c r="O47" s="79">
        <v>82.9</v>
      </c>
      <c r="P47" s="75">
        <f t="shared" ref="P47:P48" si="16">O47/M47-1</f>
        <v>0.18597997138769662</v>
      </c>
      <c r="Q47" s="15">
        <f t="shared" si="7"/>
        <v>13</v>
      </c>
      <c r="R47" s="94"/>
      <c r="S47" s="87"/>
      <c r="T47" s="87"/>
    </row>
    <row r="48" spans="1:20" x14ac:dyDescent="0.25">
      <c r="A48" s="84" t="s">
        <v>168</v>
      </c>
      <c r="B48" s="15">
        <f>($B$25+$B$37)</f>
        <v>12.030850000000001</v>
      </c>
      <c r="C48" s="15">
        <f>$C$22</f>
        <v>1.52</v>
      </c>
      <c r="D48" s="15">
        <f>(1*$G$6)</f>
        <v>0.56000000000000005</v>
      </c>
      <c r="E48" s="15">
        <f>(0.15*$G$7)</f>
        <v>0.47849999999999998</v>
      </c>
      <c r="F48" s="15">
        <f>(0.15*$G$8)</f>
        <v>1.05</v>
      </c>
      <c r="G48" s="15">
        <f>(0.15*$D$6)</f>
        <v>2.6212500000000003</v>
      </c>
      <c r="H48" s="15">
        <f>(2*1.5)</f>
        <v>3</v>
      </c>
      <c r="I48" s="15">
        <f t="shared" si="13"/>
        <v>0.7</v>
      </c>
      <c r="J48" s="15">
        <f t="shared" si="14"/>
        <v>21.960600000000003</v>
      </c>
      <c r="K48" s="85">
        <v>62.744928721793435</v>
      </c>
      <c r="L48" s="24">
        <f t="shared" ref="L48" si="17">(J48*100)/K48</f>
        <v>34.999800696836786</v>
      </c>
      <c r="M48" s="69">
        <v>64.900000000000006</v>
      </c>
      <c r="N48" s="24">
        <f t="shared" si="15"/>
        <v>30.124279835390951</v>
      </c>
      <c r="O48" s="79">
        <v>72.900000000000006</v>
      </c>
      <c r="P48" s="75">
        <f t="shared" si="16"/>
        <v>0.12326656394453006</v>
      </c>
      <c r="Q48" s="15">
        <f t="shared" si="7"/>
        <v>8</v>
      </c>
      <c r="R48" s="94"/>
      <c r="S48" s="87"/>
      <c r="T48" s="87"/>
    </row>
    <row r="49" spans="1:20" x14ac:dyDescent="0.25">
      <c r="A49" s="84" t="s">
        <v>169</v>
      </c>
      <c r="B49" s="15">
        <f>(($B$25+($B$56/2)))</f>
        <v>8.3058599999999991</v>
      </c>
      <c r="C49" s="15">
        <f>$C$22</f>
        <v>1.52</v>
      </c>
      <c r="D49" s="15">
        <f>(1*$G$6)</f>
        <v>0.56000000000000005</v>
      </c>
      <c r="E49" s="15">
        <f>(0.15*$G$7)</f>
        <v>0.47849999999999998</v>
      </c>
      <c r="F49" s="15">
        <f>(0.15*$G$8)</f>
        <v>1.05</v>
      </c>
      <c r="G49" s="15">
        <f>(0.15*$D$6)</f>
        <v>2.6212500000000003</v>
      </c>
      <c r="H49" s="15">
        <f>(2*1.5)</f>
        <v>3</v>
      </c>
      <c r="I49" s="15">
        <f t="shared" si="13"/>
        <v>0.7</v>
      </c>
      <c r="J49" s="15">
        <f t="shared" ref="J49" si="18">SUM(B49:I49)</f>
        <v>18.235609999999998</v>
      </c>
      <c r="K49" s="85">
        <v>52.101757921172222</v>
      </c>
      <c r="L49" s="24">
        <f t="shared" ref="L49" si="19">(J49*100)/K49</f>
        <v>34.999989880552036</v>
      </c>
      <c r="M49" s="69">
        <v>59.9</v>
      </c>
      <c r="N49" s="24">
        <f t="shared" si="15"/>
        <v>28.098012326656388</v>
      </c>
      <c r="O49" s="79">
        <v>64.900000000000006</v>
      </c>
      <c r="P49" s="75">
        <f t="shared" ref="P49" si="20">O49/M49-1</f>
        <v>8.3472454090150361E-2</v>
      </c>
      <c r="Q49" s="15">
        <f t="shared" si="7"/>
        <v>5.0000000000000071</v>
      </c>
      <c r="R49" s="94"/>
      <c r="S49" s="87"/>
      <c r="T49" s="87"/>
    </row>
    <row r="50" spans="1:20" x14ac:dyDescent="0.25">
      <c r="A50" s="84" t="s">
        <v>170</v>
      </c>
      <c r="B50" s="15">
        <f>($B$22+$B$27)</f>
        <v>30.947868</v>
      </c>
      <c r="C50" s="15">
        <v>2.0499999999999998</v>
      </c>
      <c r="D50" s="15">
        <f>(2*$G$6)</f>
        <v>1.1200000000000001</v>
      </c>
      <c r="E50" s="15">
        <f>(0.3*$G$7)</f>
        <v>0.95699999999999996</v>
      </c>
      <c r="F50" s="15">
        <f>(0.25*$G$8)</f>
        <v>1.75</v>
      </c>
      <c r="G50" s="15">
        <f>(0.2*$D$6)</f>
        <v>3.4950000000000006</v>
      </c>
      <c r="H50" s="15">
        <f>(3*$H$22)</f>
        <v>9</v>
      </c>
      <c r="I50" s="15">
        <f t="shared" si="13"/>
        <v>0.7</v>
      </c>
      <c r="J50" s="15">
        <f>SUM(B50:I50)</f>
        <v>50.019867999999995</v>
      </c>
      <c r="K50" s="85">
        <v>142.91537571351736</v>
      </c>
      <c r="L50" s="24">
        <f>((J50*100)/K50)</f>
        <v>34.999640696651063</v>
      </c>
      <c r="M50" s="69">
        <v>89.9</v>
      </c>
      <c r="N50" s="24">
        <f t="shared" si="15"/>
        <v>47.683382268827451</v>
      </c>
      <c r="O50" s="79">
        <v>104.9</v>
      </c>
      <c r="P50" s="75">
        <f>O50/M50-1</f>
        <v>0.16685205784204671</v>
      </c>
      <c r="Q50" s="15">
        <f t="shared" si="7"/>
        <v>15</v>
      </c>
      <c r="R50" s="94"/>
      <c r="S50" s="87"/>
      <c r="T50" s="87"/>
    </row>
    <row r="51" spans="1:20" x14ac:dyDescent="0.25">
      <c r="A51" s="84" t="s">
        <v>171</v>
      </c>
      <c r="B51" s="15">
        <f>($B$22+$B$36)</f>
        <v>20.211828000000001</v>
      </c>
      <c r="C51" s="15">
        <v>2.0499999999999998</v>
      </c>
      <c r="D51" s="15">
        <f>(2*$G$6)</f>
        <v>1.1200000000000001</v>
      </c>
      <c r="E51" s="15">
        <f>(0.3*$G$7)</f>
        <v>0.95699999999999996</v>
      </c>
      <c r="F51" s="15">
        <f>(0.25*$G$8)</f>
        <v>1.75</v>
      </c>
      <c r="G51" s="15">
        <f>(0.2*$D$6)</f>
        <v>3.4950000000000006</v>
      </c>
      <c r="H51" s="15">
        <f>(3*$H$22)</f>
        <v>9</v>
      </c>
      <c r="I51" s="15">
        <f t="shared" si="13"/>
        <v>0.7</v>
      </c>
      <c r="J51" s="15">
        <f t="shared" si="11"/>
        <v>39.283828000000007</v>
      </c>
      <c r="K51" s="85">
        <v>112.24008504594264</v>
      </c>
      <c r="L51" s="24">
        <f t="shared" si="5"/>
        <v>34.999820237057172</v>
      </c>
      <c r="M51" s="69">
        <v>84.9</v>
      </c>
      <c r="N51" s="24">
        <f t="shared" si="15"/>
        <v>40.540586171310636</v>
      </c>
      <c r="O51" s="79">
        <v>96.9</v>
      </c>
      <c r="P51" s="75">
        <f t="shared" si="6"/>
        <v>0.14134275618374548</v>
      </c>
      <c r="Q51" s="15">
        <f t="shared" si="7"/>
        <v>12</v>
      </c>
      <c r="R51" s="94"/>
      <c r="S51" s="87"/>
      <c r="T51" s="87"/>
    </row>
    <row r="52" spans="1:20" x14ac:dyDescent="0.25">
      <c r="A52" s="84" t="s">
        <v>172</v>
      </c>
      <c r="B52" s="15">
        <f>($B$22+$B$56)</f>
        <v>15.336887999999998</v>
      </c>
      <c r="C52" s="15">
        <v>2.0499999999999998</v>
      </c>
      <c r="D52" s="15">
        <f>(2*$G$6)</f>
        <v>1.1200000000000001</v>
      </c>
      <c r="E52" s="15">
        <f>(0.3*$G$7)</f>
        <v>0.95699999999999996</v>
      </c>
      <c r="F52" s="15">
        <f>(0.25*$G$8)</f>
        <v>1.75</v>
      </c>
      <c r="G52" s="15">
        <f>(0.2*$D$6)</f>
        <v>3.4950000000000006</v>
      </c>
      <c r="H52" s="15">
        <f>(3*$H$22)</f>
        <v>9</v>
      </c>
      <c r="I52" s="15">
        <f t="shared" si="13"/>
        <v>0.7</v>
      </c>
      <c r="J52" s="15">
        <f t="shared" ref="J52" si="21">SUM(B52:I52)</f>
        <v>34.408888000000005</v>
      </c>
      <c r="K52" s="85">
        <v>98.311119065726032</v>
      </c>
      <c r="L52" s="24">
        <f t="shared" ref="L52" si="22">((J52*100)/K52)</f>
        <v>34.999996263897572</v>
      </c>
      <c r="M52" s="69">
        <v>79.900000000000006</v>
      </c>
      <c r="N52" s="24">
        <f t="shared" si="15"/>
        <v>38.274625139043387</v>
      </c>
      <c r="O52" s="79">
        <v>89.9</v>
      </c>
      <c r="P52" s="75">
        <f t="shared" ref="P52" si="23">O52/M52-1</f>
        <v>0.12515644555694627</v>
      </c>
      <c r="Q52" s="15">
        <f t="shared" si="7"/>
        <v>10</v>
      </c>
      <c r="R52" s="94"/>
      <c r="S52" s="87"/>
      <c r="T52" s="87"/>
    </row>
    <row r="53" spans="1:20" x14ac:dyDescent="0.25">
      <c r="A53" s="84" t="s">
        <v>200</v>
      </c>
      <c r="B53" s="15">
        <f>(B25+B28+B37)</f>
        <v>26.468350000000001</v>
      </c>
      <c r="C53" s="15">
        <v>2.0499999999999998</v>
      </c>
      <c r="D53" s="15">
        <f>(2*$G$6)</f>
        <v>1.1200000000000001</v>
      </c>
      <c r="E53" s="15">
        <f>(0.3*$G$7)</f>
        <v>0.95699999999999996</v>
      </c>
      <c r="F53" s="15">
        <f>(0.25*$G$8)</f>
        <v>1.75</v>
      </c>
      <c r="G53" s="15">
        <f>(0.2*$D$6)+(J6)</f>
        <v>12.485000000000001</v>
      </c>
      <c r="H53" s="15">
        <f>(3*$H$22)</f>
        <v>9</v>
      </c>
      <c r="I53" s="15">
        <f t="shared" si="13"/>
        <v>0.7</v>
      </c>
      <c r="J53" s="15">
        <f t="shared" ref="J53" si="24">SUM(B53:I53)</f>
        <v>54.530350000000006</v>
      </c>
      <c r="K53" s="85">
        <v>155.80161281620872</v>
      </c>
      <c r="L53" s="24">
        <f t="shared" ref="L53" si="25">((J53*100)/K53)</f>
        <v>34.999862334112485</v>
      </c>
      <c r="M53" s="69">
        <v>99.9</v>
      </c>
      <c r="N53" s="24">
        <f t="shared" si="15"/>
        <v>45.47985821517932</v>
      </c>
      <c r="O53" s="79">
        <v>119.9</v>
      </c>
      <c r="P53" s="75">
        <f t="shared" ref="P53" si="26">O53/M53-1</f>
        <v>0.20020020020020013</v>
      </c>
      <c r="Q53" s="15">
        <f t="shared" si="7"/>
        <v>20</v>
      </c>
      <c r="R53" s="94"/>
      <c r="S53" s="87"/>
      <c r="T53" s="87"/>
    </row>
    <row r="54" spans="1:20" x14ac:dyDescent="0.25">
      <c r="A54" s="84" t="s">
        <v>173</v>
      </c>
      <c r="B54" s="15">
        <f>($B$22+$B$36+$B$27)</f>
        <v>44.466828</v>
      </c>
      <c r="C54" s="15">
        <v>2.6</v>
      </c>
      <c r="D54" s="15">
        <f>(3*$G$6)</f>
        <v>1.6800000000000002</v>
      </c>
      <c r="E54" s="15">
        <f>(0.45*$G$7)</f>
        <v>1.4355</v>
      </c>
      <c r="F54" s="15">
        <f>(0.45*$G$8)</f>
        <v>3.15</v>
      </c>
      <c r="G54" s="15">
        <f>(0.3*$D$6)+($J$6)</f>
        <v>14.232500000000002</v>
      </c>
      <c r="H54" s="15">
        <f>(4*$H$22)</f>
        <v>12</v>
      </c>
      <c r="I54" s="15">
        <f t="shared" si="13"/>
        <v>0.7</v>
      </c>
      <c r="J54" s="15">
        <f t="shared" si="11"/>
        <v>80.264828000000009</v>
      </c>
      <c r="K54" s="85">
        <v>229.32893839465476</v>
      </c>
      <c r="L54" s="24">
        <f>((J54*100)/K54)</f>
        <v>34.999868992491194</v>
      </c>
      <c r="M54" s="69">
        <v>134.9</v>
      </c>
      <c r="N54" s="24">
        <f t="shared" si="15"/>
        <v>50.196890556597879</v>
      </c>
      <c r="O54" s="79">
        <v>159.9</v>
      </c>
      <c r="P54" s="75">
        <f t="shared" si="6"/>
        <v>0.18532246108228323</v>
      </c>
      <c r="Q54" s="15">
        <f t="shared" si="7"/>
        <v>25</v>
      </c>
      <c r="R54" s="94"/>
      <c r="S54" s="87"/>
      <c r="T54" s="87"/>
    </row>
    <row r="55" spans="1:20" x14ac:dyDescent="0.25">
      <c r="A55" s="37" t="s">
        <v>142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24"/>
      <c r="M55" s="15"/>
      <c r="N55" s="24"/>
      <c r="O55" s="15"/>
      <c r="P55" s="76"/>
      <c r="Q55" s="15"/>
      <c r="R55" s="94"/>
      <c r="T55" s="88"/>
    </row>
    <row r="56" spans="1:20" x14ac:dyDescent="0.25">
      <c r="A56" s="84" t="s">
        <v>161</v>
      </c>
      <c r="B56" s="15">
        <f>(0.42*$D$12)</f>
        <v>8.6440199999999994</v>
      </c>
      <c r="C56" s="15">
        <f>$C$22</f>
        <v>1.52</v>
      </c>
      <c r="D56" s="15">
        <f>(2*$G$6)</f>
        <v>1.1200000000000001</v>
      </c>
      <c r="E56" s="15">
        <f>(0.15*$G$7)</f>
        <v>0.47849999999999998</v>
      </c>
      <c r="F56" s="15">
        <f>(0.15*$G$8)</f>
        <v>1.05</v>
      </c>
      <c r="G56" s="15">
        <f>(0.15*$D$6)</f>
        <v>2.6212500000000003</v>
      </c>
      <c r="H56" s="15">
        <f>$H$22</f>
        <v>3</v>
      </c>
      <c r="I56" s="15">
        <f>$I$22</f>
        <v>0.7</v>
      </c>
      <c r="J56" s="15">
        <f t="shared" si="11"/>
        <v>19.133769999999998</v>
      </c>
      <c r="K56" s="85">
        <v>54.667939929510446</v>
      </c>
      <c r="L56" s="24">
        <f>(J56*100/K56)</f>
        <v>34.999983582098267</v>
      </c>
      <c r="M56" s="69">
        <v>59.9</v>
      </c>
      <c r="N56" s="24">
        <f>((J56*100/O56))</f>
        <v>29.48192604006163</v>
      </c>
      <c r="O56" s="79">
        <v>64.900000000000006</v>
      </c>
      <c r="P56" s="75">
        <f t="shared" ref="P56:P62" si="27">O56/M56-1</f>
        <v>8.3472454090150361E-2</v>
      </c>
      <c r="Q56" s="15">
        <f t="shared" si="7"/>
        <v>5.0000000000000071</v>
      </c>
      <c r="R56" s="94"/>
    </row>
    <row r="57" spans="1:20" x14ac:dyDescent="0.25">
      <c r="A57" s="84" t="s">
        <v>175</v>
      </c>
      <c r="B57" s="15">
        <f>(0.25*$D$12)</f>
        <v>5.1452499999999999</v>
      </c>
      <c r="C57" s="15">
        <f>$C$25</f>
        <v>1.33</v>
      </c>
      <c r="D57" s="15">
        <f>(1*$G$6)</f>
        <v>0.56000000000000005</v>
      </c>
      <c r="E57" s="15">
        <f>(0.1*$G$7)</f>
        <v>0.31900000000000001</v>
      </c>
      <c r="F57" s="15">
        <f>(0.1*$G$8)</f>
        <v>0.70000000000000007</v>
      </c>
      <c r="G57" s="15">
        <f>(0.08*$D$6)</f>
        <v>1.3980000000000001</v>
      </c>
      <c r="H57" s="15">
        <f>$H$25</f>
        <v>3</v>
      </c>
      <c r="I57" s="15">
        <f>$I$22</f>
        <v>0.7</v>
      </c>
      <c r="J57" s="15">
        <f>SUM(B57:I57)</f>
        <v>13.152249999999999</v>
      </c>
      <c r="K57" s="85">
        <v>37.57693998830193</v>
      </c>
      <c r="L57" s="24">
        <f t="shared" ref="L57" si="28">((J57*100)/K57)</f>
        <v>35.00085425820842</v>
      </c>
      <c r="M57" s="69">
        <v>39.9</v>
      </c>
      <c r="N57" s="24">
        <f>((J57*100/O57))</f>
        <v>26.357214428857713</v>
      </c>
      <c r="O57" s="79">
        <v>49.9</v>
      </c>
      <c r="P57" s="75">
        <f t="shared" si="27"/>
        <v>0.25062656641604009</v>
      </c>
      <c r="Q57" s="15">
        <f t="shared" si="7"/>
        <v>10</v>
      </c>
      <c r="R57" s="94"/>
      <c r="S57" s="87"/>
      <c r="T57" s="87"/>
    </row>
    <row r="58" spans="1:20" x14ac:dyDescent="0.25">
      <c r="A58" s="37" t="s">
        <v>174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24"/>
      <c r="M58" s="69"/>
      <c r="N58" s="24"/>
      <c r="O58" s="15"/>
      <c r="P58" s="77"/>
      <c r="Q58" s="15"/>
      <c r="R58" s="94"/>
    </row>
    <row r="59" spans="1:20" x14ac:dyDescent="0.25">
      <c r="A59" s="84" t="s">
        <v>162</v>
      </c>
      <c r="B59" s="15">
        <f>(0.25*$D$13)</f>
        <v>8.3475000000000001</v>
      </c>
      <c r="C59" s="15">
        <f>$C$25</f>
        <v>1.33</v>
      </c>
      <c r="D59" s="15">
        <f>(1*$G$6)</f>
        <v>0.56000000000000005</v>
      </c>
      <c r="E59" s="15">
        <f>(0.1*$G$7)</f>
        <v>0.31900000000000001</v>
      </c>
      <c r="F59" s="15">
        <f>(0.1*$G$8)</f>
        <v>0.70000000000000007</v>
      </c>
      <c r="G59" s="15">
        <f>(0.08*$D$6)</f>
        <v>1.3980000000000001</v>
      </c>
      <c r="H59" s="15">
        <f>$H$25</f>
        <v>3</v>
      </c>
      <c r="I59" s="15">
        <f>$I$22</f>
        <v>0.7</v>
      </c>
      <c r="J59" s="15">
        <f t="shared" si="11"/>
        <v>16.354500000000002</v>
      </c>
      <c r="K59" s="85">
        <v>46.727297592776068</v>
      </c>
      <c r="L59" s="24">
        <f>(J59*100/K59)</f>
        <v>34.999884098857819</v>
      </c>
      <c r="M59" s="69">
        <v>39.9</v>
      </c>
      <c r="N59" s="24">
        <f>((J59*100/O59))</f>
        <v>36.424276169265042</v>
      </c>
      <c r="O59" s="79">
        <v>44.9</v>
      </c>
      <c r="P59" s="75">
        <f t="shared" si="27"/>
        <v>0.12531328320802015</v>
      </c>
      <c r="Q59" s="15">
        <f t="shared" si="7"/>
        <v>5</v>
      </c>
      <c r="R59" s="94"/>
    </row>
    <row r="60" spans="1:20" x14ac:dyDescent="0.25">
      <c r="A60" s="99" t="s">
        <v>29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7"/>
      <c r="Q60" s="1"/>
      <c r="R60" s="94"/>
    </row>
    <row r="61" spans="1:20" x14ac:dyDescent="0.25">
      <c r="A61" s="84" t="s">
        <v>177</v>
      </c>
      <c r="B61" s="15">
        <f>(0.4*$D$6)</f>
        <v>6.9900000000000011</v>
      </c>
      <c r="C61" s="15">
        <f>$C$22</f>
        <v>1.52</v>
      </c>
      <c r="D61" s="15"/>
      <c r="E61" s="15"/>
      <c r="F61" s="15"/>
      <c r="G61" s="15"/>
      <c r="H61" s="15">
        <f>$H$22</f>
        <v>3</v>
      </c>
      <c r="I61" s="15">
        <f>$I$22</f>
        <v>0.7</v>
      </c>
      <c r="J61" s="15">
        <f t="shared" ref="J61:J62" si="29">SUM(B61:I61)</f>
        <v>12.21</v>
      </c>
      <c r="K61" s="85">
        <v>34.88573866134098</v>
      </c>
      <c r="L61" s="24">
        <f t="shared" ref="L61:L62" si="30">((J61*100)/K61)</f>
        <v>34.999975544535758</v>
      </c>
      <c r="M61" s="69">
        <v>24.9</v>
      </c>
      <c r="N61" s="24">
        <f>((J61*100/O61))</f>
        <v>42.249134948096888</v>
      </c>
      <c r="O61" s="79">
        <v>28.9</v>
      </c>
      <c r="P61" s="75">
        <f t="shared" si="27"/>
        <v>0.1606425702811245</v>
      </c>
      <c r="Q61" s="15">
        <f t="shared" si="7"/>
        <v>4</v>
      </c>
      <c r="R61" s="94"/>
    </row>
    <row r="62" spans="1:20" x14ac:dyDescent="0.25">
      <c r="A62" s="84" t="s">
        <v>178</v>
      </c>
      <c r="B62" s="15">
        <f>(0.25*$D$6)</f>
        <v>4.3687500000000004</v>
      </c>
      <c r="C62" s="15">
        <f>$C$25</f>
        <v>1.33</v>
      </c>
      <c r="D62" s="15"/>
      <c r="E62" s="15"/>
      <c r="F62" s="15"/>
      <c r="G62" s="15"/>
      <c r="H62" s="15">
        <f>$H$25</f>
        <v>3</v>
      </c>
      <c r="I62" s="15">
        <f>$I$22</f>
        <v>0.7</v>
      </c>
      <c r="J62" s="15">
        <f t="shared" si="29"/>
        <v>9.3987499999999997</v>
      </c>
      <c r="K62" s="85">
        <v>26.85357724607778</v>
      </c>
      <c r="L62" s="24">
        <f t="shared" si="30"/>
        <v>34.999992417668587</v>
      </c>
      <c r="M62" s="69">
        <v>16.899999999999999</v>
      </c>
      <c r="N62" s="24">
        <f>((J62*100/O62))</f>
        <v>41.042576419213979</v>
      </c>
      <c r="O62" s="79">
        <v>22.9</v>
      </c>
      <c r="P62" s="75">
        <f t="shared" si="27"/>
        <v>0.3550295857988166</v>
      </c>
      <c r="Q62" s="15">
        <f t="shared" si="7"/>
        <v>6</v>
      </c>
      <c r="R62" s="94"/>
    </row>
    <row r="63" spans="1:20" x14ac:dyDescent="0.25">
      <c r="A63" s="99" t="s">
        <v>31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7"/>
      <c r="Q63" s="1"/>
      <c r="R63" s="94"/>
    </row>
    <row r="64" spans="1:20" x14ac:dyDescent="0.25">
      <c r="A64" s="84" t="s">
        <v>179</v>
      </c>
      <c r="B64" s="15">
        <f>(0.4*$D$7)</f>
        <v>2.9000000000000004</v>
      </c>
      <c r="C64" s="15">
        <f>$C$22</f>
        <v>1.52</v>
      </c>
      <c r="D64" s="15"/>
      <c r="E64" s="15"/>
      <c r="F64" s="15"/>
      <c r="G64" s="15"/>
      <c r="H64" s="15">
        <f>$H$22</f>
        <v>3</v>
      </c>
      <c r="I64" s="15">
        <f>$I$22</f>
        <v>0.7</v>
      </c>
      <c r="J64" s="15">
        <f t="shared" ref="J64:J65" si="31">SUM(B64:I64)</f>
        <v>8.1199999999999992</v>
      </c>
      <c r="K64" s="85">
        <v>23.199873548960589</v>
      </c>
      <c r="L64" s="24">
        <f t="shared" ref="L64:L68" si="32">((J64*100)/K64)</f>
        <v>35.00019076769405</v>
      </c>
      <c r="M64" s="69">
        <v>24.9</v>
      </c>
      <c r="N64" s="24">
        <f>((J64*100/O64))</f>
        <v>28.096885813148788</v>
      </c>
      <c r="O64" s="79">
        <v>28.9</v>
      </c>
      <c r="P64" s="75">
        <f t="shared" ref="P64:P65" si="33">O64/M64-1</f>
        <v>0.1606425702811245</v>
      </c>
      <c r="Q64" s="15">
        <f t="shared" ref="Q64:Q65" si="34">O64-M64</f>
        <v>4</v>
      </c>
      <c r="R64" s="94"/>
    </row>
    <row r="65" spans="1:18" x14ac:dyDescent="0.25">
      <c r="A65" s="84" t="s">
        <v>180</v>
      </c>
      <c r="B65" s="15">
        <f>(0.25*$D$7)</f>
        <v>1.8125</v>
      </c>
      <c r="C65" s="15">
        <f>$C$25</f>
        <v>1.33</v>
      </c>
      <c r="D65" s="15"/>
      <c r="E65" s="15"/>
      <c r="F65" s="15"/>
      <c r="G65" s="15"/>
      <c r="H65" s="15">
        <f>$H$25</f>
        <v>3</v>
      </c>
      <c r="I65" s="15">
        <f>$I$22</f>
        <v>0.7</v>
      </c>
      <c r="J65" s="15">
        <f t="shared" si="31"/>
        <v>6.8425000000000002</v>
      </c>
      <c r="K65" s="85">
        <v>19.549974403159375</v>
      </c>
      <c r="L65" s="24">
        <f t="shared" si="32"/>
        <v>35.000045825605874</v>
      </c>
      <c r="M65" s="69">
        <v>16.899999999999999</v>
      </c>
      <c r="N65" s="24">
        <f>((J65*100/O65))</f>
        <v>29.879912663755459</v>
      </c>
      <c r="O65" s="79">
        <v>22.9</v>
      </c>
      <c r="P65" s="75">
        <f t="shared" si="33"/>
        <v>0.3550295857988166</v>
      </c>
      <c r="Q65" s="15">
        <f t="shared" si="34"/>
        <v>6</v>
      </c>
      <c r="R65" s="94"/>
    </row>
    <row r="66" spans="1:18" x14ac:dyDescent="0.25">
      <c r="A66" s="99" t="s">
        <v>59</v>
      </c>
      <c r="B66" s="15"/>
      <c r="C66" s="15"/>
      <c r="D66" s="15"/>
      <c r="E66" s="15"/>
      <c r="F66" s="15"/>
      <c r="G66" s="15"/>
      <c r="H66" s="15"/>
      <c r="I66" s="15"/>
      <c r="J66" s="15"/>
      <c r="K66" s="89"/>
      <c r="L66" s="24"/>
      <c r="M66" s="15"/>
      <c r="N66" s="24"/>
      <c r="O66" s="15"/>
      <c r="P66" s="77"/>
      <c r="Q66" s="15"/>
      <c r="R66" s="94"/>
    </row>
    <row r="67" spans="1:18" x14ac:dyDescent="0.25">
      <c r="A67" s="84" t="s">
        <v>181</v>
      </c>
      <c r="B67" s="15">
        <f>(0.4*D18)</f>
        <v>7.9920000000000009</v>
      </c>
      <c r="C67" s="15">
        <f>$C$22</f>
        <v>1.52</v>
      </c>
      <c r="D67" s="15"/>
      <c r="E67" s="15"/>
      <c r="F67" s="15"/>
      <c r="G67" s="15"/>
      <c r="H67" s="15">
        <f>$H$22</f>
        <v>3</v>
      </c>
      <c r="I67" s="15">
        <f>$I$22</f>
        <v>0.7</v>
      </c>
      <c r="J67" s="15">
        <f t="shared" ref="J67:J68" si="35">SUM(B67:I67)</f>
        <v>13.212</v>
      </c>
      <c r="K67" s="85">
        <v>37.748880286107223</v>
      </c>
      <c r="L67" s="24">
        <f t="shared" si="32"/>
        <v>34.999713633525793</v>
      </c>
      <c r="M67" s="69">
        <v>28.9</v>
      </c>
      <c r="N67" s="24">
        <f>((J67*100/O67))</f>
        <v>42.757281553398059</v>
      </c>
      <c r="O67" s="79">
        <v>30.9</v>
      </c>
      <c r="P67" s="75">
        <f t="shared" ref="P67:P68" si="36">O67/M67-1</f>
        <v>6.9204152249134898E-2</v>
      </c>
      <c r="Q67" s="15">
        <f t="shared" ref="Q67:Q68" si="37">O67-M67</f>
        <v>2</v>
      </c>
      <c r="R67" s="94"/>
    </row>
    <row r="68" spans="1:18" x14ac:dyDescent="0.25">
      <c r="A68" s="84" t="s">
        <v>182</v>
      </c>
      <c r="B68" s="15">
        <f>(0.25*D18)</f>
        <v>4.9950000000000001</v>
      </c>
      <c r="C68" s="15">
        <f>$C$25</f>
        <v>1.33</v>
      </c>
      <c r="D68" s="15"/>
      <c r="E68" s="15"/>
      <c r="F68" s="15"/>
      <c r="G68" s="15"/>
      <c r="H68" s="15">
        <f>$H$25</f>
        <v>3</v>
      </c>
      <c r="I68" s="15">
        <f>$I$22</f>
        <v>0.7</v>
      </c>
      <c r="J68" s="15">
        <f t="shared" si="35"/>
        <v>10.024999999999999</v>
      </c>
      <c r="K68" s="85">
        <v>28.642939931110821</v>
      </c>
      <c r="L68" s="24">
        <f t="shared" si="32"/>
        <v>34.999898837588397</v>
      </c>
      <c r="M68" s="69">
        <v>18.899999999999999</v>
      </c>
      <c r="N68" s="24">
        <f>((J68*100/O68))</f>
        <v>40.261044176706825</v>
      </c>
      <c r="O68" s="79">
        <v>24.9</v>
      </c>
      <c r="P68" s="75">
        <f t="shared" si="36"/>
        <v>0.31746031746031744</v>
      </c>
      <c r="Q68" s="15">
        <f t="shared" si="37"/>
        <v>6</v>
      </c>
      <c r="R68" s="94"/>
    </row>
    <row r="69" spans="1:18" x14ac:dyDescent="0.25">
      <c r="A69" s="99" t="s">
        <v>183</v>
      </c>
      <c r="B69" s="15"/>
      <c r="C69" s="15"/>
      <c r="D69" s="15"/>
      <c r="E69" s="15"/>
      <c r="F69" s="15"/>
      <c r="G69" s="15"/>
      <c r="H69" s="15"/>
      <c r="I69" s="15"/>
      <c r="J69" s="15"/>
      <c r="K69" s="89"/>
      <c r="L69" s="24"/>
      <c r="M69" s="15"/>
      <c r="N69" s="24"/>
      <c r="O69" s="15"/>
      <c r="P69" s="77"/>
      <c r="Q69" s="15"/>
      <c r="R69" s="94"/>
    </row>
    <row r="70" spans="1:18" x14ac:dyDescent="0.25">
      <c r="A70" s="84" t="s">
        <v>184</v>
      </c>
      <c r="B70" s="15">
        <f>(0.4*$D$19)</f>
        <v>5.5600000000000005</v>
      </c>
      <c r="C70" s="15">
        <f>$C$22</f>
        <v>1.52</v>
      </c>
      <c r="D70" s="15"/>
      <c r="E70" s="15"/>
      <c r="F70" s="15"/>
      <c r="G70" s="15"/>
      <c r="H70" s="15">
        <f>$H$22</f>
        <v>3</v>
      </c>
      <c r="I70" s="15">
        <f>$I$22</f>
        <v>0.7</v>
      </c>
      <c r="J70" s="15">
        <f t="shared" ref="J70:J71" si="38">SUM(B70:I70)</f>
        <v>10.78</v>
      </c>
      <c r="K70" s="85">
        <v>30.800764371312631</v>
      </c>
      <c r="L70" s="24">
        <f t="shared" ref="L70:L71" si="39">((J70*100)/K70)</f>
        <v>34.999131417791467</v>
      </c>
      <c r="M70" s="69">
        <v>30.9</v>
      </c>
      <c r="N70" s="24">
        <f>((J70*100/O70))</f>
        <v>32.765957446808514</v>
      </c>
      <c r="O70" s="79">
        <v>32.9</v>
      </c>
      <c r="P70" s="75">
        <f t="shared" ref="P70:P77" si="40">O70/M70-1</f>
        <v>6.472491909385103E-2</v>
      </c>
      <c r="Q70" s="15">
        <f t="shared" ref="Q70:Q74" si="41">O70-M70</f>
        <v>2</v>
      </c>
      <c r="R70" s="94"/>
    </row>
    <row r="71" spans="1:18" x14ac:dyDescent="0.25">
      <c r="A71" s="84" t="s">
        <v>185</v>
      </c>
      <c r="B71" s="15">
        <f>(0.25*$D$19)</f>
        <v>3.4750000000000001</v>
      </c>
      <c r="C71" s="15">
        <f>$C$25</f>
        <v>1.33</v>
      </c>
      <c r="D71" s="15"/>
      <c r="E71" s="15"/>
      <c r="F71" s="15"/>
      <c r="G71" s="15"/>
      <c r="H71" s="15">
        <f>$H$25</f>
        <v>3</v>
      </c>
      <c r="I71" s="15">
        <f>$I$22</f>
        <v>0.7</v>
      </c>
      <c r="J71" s="15">
        <f t="shared" si="38"/>
        <v>8.504999999999999</v>
      </c>
      <c r="K71" s="85">
        <v>24.300288776106839</v>
      </c>
      <c r="L71" s="24">
        <f t="shared" si="39"/>
        <v>34.999584072278623</v>
      </c>
      <c r="M71" s="69">
        <v>20.9</v>
      </c>
      <c r="N71" s="24">
        <f>((J71*100/O71))</f>
        <v>31.61710037174721</v>
      </c>
      <c r="O71" s="79">
        <v>26.9</v>
      </c>
      <c r="P71" s="75">
        <f t="shared" si="40"/>
        <v>0.2870813397129186</v>
      </c>
      <c r="Q71" s="15">
        <f t="shared" si="41"/>
        <v>6</v>
      </c>
      <c r="R71" s="94"/>
    </row>
    <row r="72" spans="1:18" x14ac:dyDescent="0.25">
      <c r="A72" s="99" t="s">
        <v>60</v>
      </c>
      <c r="B72" s="15"/>
      <c r="C72" s="15"/>
      <c r="D72" s="15"/>
      <c r="E72" s="15"/>
      <c r="F72" s="15"/>
      <c r="G72" s="15"/>
      <c r="H72" s="15"/>
      <c r="I72" s="15"/>
      <c r="J72" s="15"/>
      <c r="K72" s="89"/>
      <c r="L72" s="24"/>
      <c r="M72" s="15"/>
      <c r="N72" s="24"/>
      <c r="O72" s="15"/>
      <c r="P72" s="77"/>
      <c r="Q72" s="15"/>
      <c r="R72" s="94"/>
    </row>
    <row r="73" spans="1:18" x14ac:dyDescent="0.25">
      <c r="A73" s="84" t="s">
        <v>145</v>
      </c>
      <c r="B73" s="15">
        <f>(0.25*$G$10)</f>
        <v>5.6875</v>
      </c>
      <c r="C73" s="15">
        <f>$C$25</f>
        <v>1.33</v>
      </c>
      <c r="D73" s="15"/>
      <c r="E73" s="15"/>
      <c r="F73" s="15"/>
      <c r="G73" s="15"/>
      <c r="H73" s="15"/>
      <c r="I73" s="15">
        <f>$I$22</f>
        <v>0.7</v>
      </c>
      <c r="J73" s="15">
        <f t="shared" ref="J73:J76" si="42">SUM(B73:I73)</f>
        <v>7.7175000000000002</v>
      </c>
      <c r="K73" s="85">
        <v>22.050222129668192</v>
      </c>
      <c r="L73" s="24">
        <f t="shared" ref="L73:L76" si="43">((J73*100)/K73)</f>
        <v>34.99964741677698</v>
      </c>
      <c r="M73" s="69">
        <v>24.9</v>
      </c>
      <c r="N73" s="24">
        <f>((J73*100/O73))</f>
        <v>28.689591078066915</v>
      </c>
      <c r="O73" s="79">
        <v>26.9</v>
      </c>
      <c r="P73" s="75">
        <f t="shared" si="40"/>
        <v>8.032128514056236E-2</v>
      </c>
      <c r="Q73" s="15">
        <f t="shared" si="41"/>
        <v>2</v>
      </c>
      <c r="R73" s="94"/>
    </row>
    <row r="74" spans="1:18" x14ac:dyDescent="0.25">
      <c r="A74" s="84" t="s">
        <v>188</v>
      </c>
      <c r="B74" s="15">
        <f>(0.125*$G$10)</f>
        <v>2.84375</v>
      </c>
      <c r="C74" s="15">
        <v>1.65</v>
      </c>
      <c r="D74" s="15"/>
      <c r="E74" s="15"/>
      <c r="F74" s="15"/>
      <c r="G74" s="15"/>
      <c r="H74" s="15"/>
      <c r="I74" s="15">
        <f>$I$22</f>
        <v>0.7</v>
      </c>
      <c r="J74" s="15">
        <f>SUM(B74:I74)</f>
        <v>5.1937500000000005</v>
      </c>
      <c r="K74" s="85">
        <v>14.839276195797737</v>
      </c>
      <c r="L74" s="24">
        <f t="shared" si="43"/>
        <v>35.00002245035909</v>
      </c>
      <c r="M74" s="69">
        <v>16.899999999999999</v>
      </c>
      <c r="N74" s="24">
        <f t="shared" ref="N74" si="44">((J74*100/M74))</f>
        <v>30.732248520710062</v>
      </c>
      <c r="O74" s="79">
        <v>18.899999999999999</v>
      </c>
      <c r="P74" s="75">
        <f t="shared" si="40"/>
        <v>0.11834319526627213</v>
      </c>
      <c r="Q74" s="15">
        <f t="shared" si="41"/>
        <v>2</v>
      </c>
      <c r="R74" s="94"/>
    </row>
    <row r="75" spans="1:18" x14ac:dyDescent="0.25">
      <c r="A75" s="99" t="s">
        <v>95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24"/>
      <c r="M75" s="15"/>
      <c r="N75" s="24"/>
      <c r="O75" s="15"/>
      <c r="P75" s="77"/>
      <c r="Q75" s="15"/>
      <c r="R75" s="94"/>
    </row>
    <row r="76" spans="1:18" x14ac:dyDescent="0.25">
      <c r="A76" s="84" t="s">
        <v>186</v>
      </c>
      <c r="B76" s="15">
        <f>(0.45*D14)</f>
        <v>16.713000000000001</v>
      </c>
      <c r="C76" s="15">
        <f>$C$22</f>
        <v>1.52</v>
      </c>
      <c r="D76" s="15">
        <f>(2*$G$6)</f>
        <v>1.1200000000000001</v>
      </c>
      <c r="E76" s="15">
        <f>(0.15*$G$7)</f>
        <v>0.47849999999999998</v>
      </c>
      <c r="F76" s="15">
        <f>(0.15*$G$8)</f>
        <v>1.05</v>
      </c>
      <c r="G76" s="1"/>
      <c r="H76" s="15">
        <f>$H$22</f>
        <v>3</v>
      </c>
      <c r="I76" s="15">
        <f>$I$22</f>
        <v>0.7</v>
      </c>
      <c r="J76" s="15">
        <f t="shared" si="42"/>
        <v>24.581500000000002</v>
      </c>
      <c r="K76" s="85">
        <v>70.23236046448244</v>
      </c>
      <c r="L76" s="24">
        <f t="shared" si="43"/>
        <v>35.000247517568823</v>
      </c>
      <c r="M76" s="69">
        <v>79.900000000000006</v>
      </c>
      <c r="N76" s="24">
        <f>((J76*100/O76))</f>
        <v>30.765331664580724</v>
      </c>
      <c r="O76" s="79">
        <v>79.900000000000006</v>
      </c>
      <c r="P76" s="75">
        <f t="shared" si="40"/>
        <v>0</v>
      </c>
      <c r="Q76" s="15">
        <f t="shared" ref="Q76" si="45">M76-O76</f>
        <v>0</v>
      </c>
      <c r="R76" s="94"/>
    </row>
    <row r="77" spans="1:18" x14ac:dyDescent="0.25">
      <c r="A77" s="84" t="s">
        <v>187</v>
      </c>
      <c r="B77" s="15">
        <f>(0.45*D15)</f>
        <v>7.2089999999999996</v>
      </c>
      <c r="C77" s="15">
        <f>$C$25</f>
        <v>1.33</v>
      </c>
      <c r="D77" s="15">
        <f>(1*$G$6)</f>
        <v>0.56000000000000005</v>
      </c>
      <c r="E77" s="15">
        <f>(0.1*$G$7)</f>
        <v>0.31900000000000001</v>
      </c>
      <c r="F77" s="15">
        <f>(0.1*$G$8)</f>
        <v>0.70000000000000007</v>
      </c>
      <c r="G77" s="1"/>
      <c r="H77" s="15">
        <f>$H$25</f>
        <v>3</v>
      </c>
      <c r="I77" s="15">
        <f>$I$22</f>
        <v>0.7</v>
      </c>
      <c r="J77" s="15">
        <f t="shared" ref="J77" si="46">SUM(B77:I77)</f>
        <v>13.818</v>
      </c>
      <c r="K77" s="85">
        <v>39.480011539951747</v>
      </c>
      <c r="L77" s="24">
        <f t="shared" ref="L77" si="47">((J77*100)/K77)</f>
        <v>34.999989769549316</v>
      </c>
      <c r="M77" s="69">
        <v>49.9</v>
      </c>
      <c r="N77" s="24">
        <f>((J77*100/O77))</f>
        <v>27.691382765531063</v>
      </c>
      <c r="O77" s="79">
        <v>49.9</v>
      </c>
      <c r="P77" s="75">
        <f t="shared" si="40"/>
        <v>0</v>
      </c>
      <c r="Q77" s="15">
        <f t="shared" ref="Q77" si="48">M77-O77</f>
        <v>0</v>
      </c>
      <c r="R77" s="94"/>
    </row>
    <row r="78" spans="1:1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4"/>
      <c r="M78" s="1"/>
      <c r="N78" s="24"/>
      <c r="O78" s="1"/>
      <c r="P78" s="17"/>
      <c r="Q78" s="1"/>
      <c r="R78" s="1"/>
    </row>
    <row r="79" spans="1:18" x14ac:dyDescent="0.25">
      <c r="A79" s="99" t="s">
        <v>189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24"/>
      <c r="M79" s="15"/>
      <c r="N79" s="24"/>
      <c r="O79" s="15"/>
      <c r="P79" s="77"/>
      <c r="Q79" s="15"/>
      <c r="R79" s="94"/>
    </row>
    <row r="80" spans="1:18" x14ac:dyDescent="0.25">
      <c r="A80" s="84" t="s">
        <v>146</v>
      </c>
      <c r="B80" s="15">
        <f>(0.42*$D$8)</f>
        <v>6.6928679999999998</v>
      </c>
      <c r="C80" s="15">
        <f>$C$22</f>
        <v>1.52</v>
      </c>
      <c r="D80" s="15">
        <f>(1*$G$6)</f>
        <v>0.56000000000000005</v>
      </c>
      <c r="E80" s="15">
        <f>(0.15*$G$7)</f>
        <v>0.47849999999999998</v>
      </c>
      <c r="F80" s="15">
        <f>(0.15*$G$8)</f>
        <v>1.05</v>
      </c>
      <c r="G80" s="15">
        <f>(0.15*$D$6)</f>
        <v>2.6212500000000003</v>
      </c>
      <c r="H80" s="15">
        <f>$H$25</f>
        <v>3</v>
      </c>
      <c r="I80" s="15">
        <f>$I$22</f>
        <v>0.7</v>
      </c>
      <c r="J80" s="15">
        <f>SUM(B80:I80)</f>
        <v>16.622618000000003</v>
      </c>
      <c r="K80" s="85">
        <v>47.493547739793897</v>
      </c>
      <c r="L80" s="24">
        <f>((J80*100)/K80)</f>
        <v>34.99973952476968</v>
      </c>
      <c r="M80" s="69">
        <v>49.9</v>
      </c>
      <c r="N80" s="24">
        <f>((J80*100/O80))</f>
        <v>30.277992714025505</v>
      </c>
      <c r="O80" s="79">
        <v>54.9</v>
      </c>
      <c r="P80" s="17"/>
      <c r="Q80" s="1"/>
      <c r="R80" s="1"/>
    </row>
    <row r="81" spans="1:18" x14ac:dyDescent="0.25">
      <c r="A81" s="84" t="s">
        <v>178</v>
      </c>
      <c r="B81" s="15">
        <f>(0.25*$D$6)</f>
        <v>4.3687500000000004</v>
      </c>
      <c r="C81" s="15">
        <f>$C$25</f>
        <v>1.33</v>
      </c>
      <c r="D81" s="15"/>
      <c r="E81" s="15"/>
      <c r="F81" s="15"/>
      <c r="G81" s="15"/>
      <c r="H81" s="15">
        <f>$H$25</f>
        <v>3</v>
      </c>
      <c r="I81" s="15">
        <f>$I$22</f>
        <v>0.7</v>
      </c>
      <c r="J81" s="15">
        <f t="shared" ref="J81" si="49">SUM(B81:I81)</f>
        <v>9.3987499999999997</v>
      </c>
      <c r="K81" s="85">
        <v>26.853074685854228</v>
      </c>
      <c r="L81" s="24">
        <f t="shared" ref="L81" si="50">((J81*100)/K81)</f>
        <v>35.000647448953444</v>
      </c>
      <c r="M81" s="69">
        <v>16.899999999999999</v>
      </c>
      <c r="N81" s="24">
        <f>((J81*100/O81))</f>
        <v>41.042576419213979</v>
      </c>
      <c r="O81" s="79">
        <v>22.9</v>
      </c>
      <c r="P81" s="17"/>
      <c r="Q81" s="1"/>
      <c r="R81" s="1"/>
    </row>
    <row r="82" spans="1:18" x14ac:dyDescent="0.25">
      <c r="A82" s="84" t="s">
        <v>61</v>
      </c>
      <c r="B82" s="15">
        <f>$J$7</f>
        <v>4.05</v>
      </c>
      <c r="C82" s="15">
        <v>0.9</v>
      </c>
      <c r="D82" s="15"/>
      <c r="E82" s="15"/>
      <c r="F82" s="15"/>
      <c r="G82" s="15"/>
      <c r="H82" s="15"/>
      <c r="I82" s="15"/>
      <c r="J82" s="15">
        <f>SUM(B82:I82)</f>
        <v>4.95</v>
      </c>
      <c r="K82" s="85">
        <v>14.142795756349388</v>
      </c>
      <c r="L82" s="24">
        <f>((J82*100)/K82)</f>
        <v>35.000151916764437</v>
      </c>
      <c r="M82" s="69">
        <v>9.9</v>
      </c>
      <c r="N82" s="24"/>
      <c r="O82" s="79">
        <v>10.9</v>
      </c>
      <c r="P82" s="81" t="s">
        <v>194</v>
      </c>
      <c r="Q82" s="70">
        <v>70.900000000000006</v>
      </c>
      <c r="R82" s="81" t="s">
        <v>144</v>
      </c>
    </row>
    <row r="83" spans="1:18" x14ac:dyDescent="0.25">
      <c r="A83" s="8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95">
        <f>AVERAGE(N80:N82)/0.92</f>
        <v>38.761178876760589</v>
      </c>
      <c r="O83" s="15">
        <f>SUM(O80:O82)</f>
        <v>88.7</v>
      </c>
      <c r="P83" s="76">
        <f>O83*0.92</f>
        <v>81.603999999999999</v>
      </c>
      <c r="Q83" s="82">
        <f>P83/Q82-1</f>
        <v>0.15097320169252448</v>
      </c>
      <c r="R83" s="69">
        <f>P83/2</f>
        <v>40.802</v>
      </c>
    </row>
    <row r="84" spans="1:18" x14ac:dyDescent="0.25">
      <c r="A84" s="99" t="s">
        <v>190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24"/>
      <c r="M84" s="15"/>
      <c r="N84" s="24"/>
      <c r="O84" s="15"/>
      <c r="P84" s="77"/>
      <c r="Q84" s="1"/>
      <c r="R84" s="1"/>
    </row>
    <row r="85" spans="1:18" x14ac:dyDescent="0.25">
      <c r="A85" s="84" t="s">
        <v>147</v>
      </c>
      <c r="B85" s="15">
        <f>(0.9*$D$8)</f>
        <v>14.34186</v>
      </c>
      <c r="C85" s="15">
        <f>$C$23</f>
        <v>2.0499999999999998</v>
      </c>
      <c r="D85" s="15">
        <f>(2*$G$6)</f>
        <v>1.1200000000000001</v>
      </c>
      <c r="E85" s="15">
        <f>(0.3*$G$7)</f>
        <v>0.95699999999999996</v>
      </c>
      <c r="F85" s="15">
        <f>(0.25*$G$8)</f>
        <v>1.75</v>
      </c>
      <c r="G85" s="15">
        <f>(0.2*$D$6)</f>
        <v>3.4950000000000006</v>
      </c>
      <c r="H85" s="15">
        <f>(3*$H$22)</f>
        <v>9</v>
      </c>
      <c r="I85" s="15">
        <f>$I$22</f>
        <v>0.7</v>
      </c>
      <c r="J85" s="15">
        <f>SUM(B85:I85)</f>
        <v>33.413860000000007</v>
      </c>
      <c r="K85" s="85">
        <v>95.469097452836536</v>
      </c>
      <c r="L85" s="24">
        <f t="shared" ref="L85:L86" si="51">((J85*100)/K85)</f>
        <v>34.999660509524624</v>
      </c>
      <c r="M85" s="69">
        <v>84.9</v>
      </c>
      <c r="N85" s="24">
        <f>((J85*100/O85))</f>
        <v>35.209546891464704</v>
      </c>
      <c r="O85" s="79">
        <v>94.9</v>
      </c>
      <c r="P85" s="17"/>
      <c r="Q85" s="1"/>
      <c r="R85" s="1"/>
    </row>
    <row r="86" spans="1:18" x14ac:dyDescent="0.25">
      <c r="A86" s="84" t="s">
        <v>177</v>
      </c>
      <c r="B86" s="15">
        <f>(0.4*$D$6)</f>
        <v>6.9900000000000011</v>
      </c>
      <c r="C86" s="15">
        <f>$C$22</f>
        <v>1.52</v>
      </c>
      <c r="D86" s="15"/>
      <c r="E86" s="15"/>
      <c r="F86" s="15"/>
      <c r="G86" s="15"/>
      <c r="H86" s="15">
        <f>$H$22</f>
        <v>3</v>
      </c>
      <c r="I86" s="15">
        <f>$I$22</f>
        <v>0.7</v>
      </c>
      <c r="J86" s="15">
        <f t="shared" ref="J86" si="52">SUM(B86:I86)</f>
        <v>12.21</v>
      </c>
      <c r="K86" s="85">
        <v>34.885712481571879</v>
      </c>
      <c r="L86" s="24">
        <f t="shared" si="51"/>
        <v>35.000001810052879</v>
      </c>
      <c r="M86" s="69">
        <v>24.9</v>
      </c>
      <c r="N86" s="24">
        <f>((J86*100/O86))</f>
        <v>42.249134948096888</v>
      </c>
      <c r="O86" s="79">
        <v>28.9</v>
      </c>
      <c r="P86" s="17"/>
      <c r="Q86" s="1"/>
      <c r="R86" s="1"/>
    </row>
    <row r="87" spans="1:18" x14ac:dyDescent="0.25">
      <c r="A87" s="84" t="s">
        <v>63</v>
      </c>
      <c r="B87" s="15">
        <f>$J$6</f>
        <v>8.99</v>
      </c>
      <c r="C87" s="15">
        <v>0.9</v>
      </c>
      <c r="D87" s="15"/>
      <c r="E87" s="15"/>
      <c r="F87" s="15"/>
      <c r="G87" s="15"/>
      <c r="H87" s="15"/>
      <c r="I87" s="15"/>
      <c r="J87" s="15">
        <f>SUM(B87:I87)</f>
        <v>9.89</v>
      </c>
      <c r="K87" s="85">
        <v>28.257399511988773</v>
      </c>
      <c r="L87" s="24">
        <f>((J87*100)/K87)</f>
        <v>34.999682103811317</v>
      </c>
      <c r="M87" s="69">
        <v>14.9</v>
      </c>
      <c r="N87" s="24"/>
      <c r="O87" s="79">
        <v>17.899999999999999</v>
      </c>
      <c r="P87" s="81" t="s">
        <v>194</v>
      </c>
      <c r="Q87" s="70">
        <v>114.9</v>
      </c>
      <c r="R87" s="81" t="s">
        <v>144</v>
      </c>
    </row>
    <row r="88" spans="1:18" x14ac:dyDescent="0.25">
      <c r="A88" s="8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95">
        <f>AVERAGE(N85:N87)/0.92</f>
        <v>42.097109695413906</v>
      </c>
      <c r="O88" s="15">
        <f>SUM(O85:O87)</f>
        <v>141.70000000000002</v>
      </c>
      <c r="P88" s="76">
        <f>O88*0.92</f>
        <v>130.36400000000003</v>
      </c>
      <c r="Q88" s="82">
        <f>P88/Q87-1</f>
        <v>0.13458659704090525</v>
      </c>
      <c r="R88" s="69">
        <f>P88/3</f>
        <v>43.454666666666675</v>
      </c>
    </row>
    <row r="89" spans="1:18" x14ac:dyDescent="0.25">
      <c r="A89" s="99" t="s">
        <v>193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24"/>
      <c r="M89" s="15"/>
      <c r="N89" s="24"/>
      <c r="O89" s="15"/>
      <c r="P89" s="77"/>
      <c r="Q89" s="1"/>
      <c r="R89" s="1"/>
    </row>
    <row r="90" spans="1:18" x14ac:dyDescent="0.25">
      <c r="A90" s="84" t="s">
        <v>148</v>
      </c>
      <c r="B90" s="15">
        <f>(1.4*$D$8)</f>
        <v>22.309559999999998</v>
      </c>
      <c r="C90" s="15">
        <f>$C$24</f>
        <v>2.6</v>
      </c>
      <c r="D90" s="15">
        <f>(3*$G$6)</f>
        <v>1.6800000000000002</v>
      </c>
      <c r="E90" s="15">
        <f>(0.45*$G$7)</f>
        <v>1.4355</v>
      </c>
      <c r="F90" s="15">
        <f>(0.45*$G$8)</f>
        <v>3.15</v>
      </c>
      <c r="G90" s="15">
        <f>(0.3*$D$6)</f>
        <v>5.2425000000000006</v>
      </c>
      <c r="H90" s="15">
        <f>(4*$H$22)</f>
        <v>12</v>
      </c>
      <c r="I90" s="15">
        <f>$I$22</f>
        <v>0.7</v>
      </c>
      <c r="J90" s="15">
        <f>SUM(B90:I90)</f>
        <v>49.117560000000005</v>
      </c>
      <c r="K90" s="85">
        <v>140.33759677856958</v>
      </c>
      <c r="L90" s="24">
        <f t="shared" ref="L90:L91" si="53">((J90*100)/K90)</f>
        <v>34.999573262965093</v>
      </c>
      <c r="M90" s="69">
        <v>99.9</v>
      </c>
      <c r="N90" s="24">
        <f>((J90*100/O90))</f>
        <v>44.692957233848951</v>
      </c>
      <c r="O90" s="79">
        <v>109.9</v>
      </c>
      <c r="P90" s="17"/>
      <c r="Q90" s="1"/>
      <c r="R90" s="1"/>
    </row>
    <row r="91" spans="1:18" x14ac:dyDescent="0.25">
      <c r="A91" s="84" t="s">
        <v>177</v>
      </c>
      <c r="B91" s="15">
        <f>(0.4*$D$6)</f>
        <v>6.9900000000000011</v>
      </c>
      <c r="C91" s="15">
        <f>$C$22</f>
        <v>1.52</v>
      </c>
      <c r="D91" s="15"/>
      <c r="E91" s="15"/>
      <c r="F91" s="15"/>
      <c r="G91" s="15"/>
      <c r="H91" s="15">
        <f>$H$22</f>
        <v>3</v>
      </c>
      <c r="I91" s="15">
        <f>$I$22</f>
        <v>0.7</v>
      </c>
      <c r="J91" s="15">
        <f t="shared" ref="J91" si="54">SUM(B91:I91)</f>
        <v>12.21</v>
      </c>
      <c r="K91" s="85">
        <v>34.885712481571879</v>
      </c>
      <c r="L91" s="24">
        <f t="shared" si="53"/>
        <v>35.000001810052879</v>
      </c>
      <c r="M91" s="69">
        <v>24.9</v>
      </c>
      <c r="N91" s="24">
        <f>((J91*100/O91))</f>
        <v>42.249134948096888</v>
      </c>
      <c r="O91" s="79">
        <v>28.9</v>
      </c>
      <c r="P91" s="17"/>
      <c r="Q91" s="1"/>
      <c r="R91" s="1"/>
    </row>
    <row r="92" spans="1:18" x14ac:dyDescent="0.25">
      <c r="A92" s="84" t="s">
        <v>63</v>
      </c>
      <c r="B92" s="15">
        <f>$J$6</f>
        <v>8.99</v>
      </c>
      <c r="C92" s="15">
        <v>0.9</v>
      </c>
      <c r="D92" s="15"/>
      <c r="E92" s="15"/>
      <c r="F92" s="15"/>
      <c r="G92" s="15"/>
      <c r="H92" s="15"/>
      <c r="I92" s="15"/>
      <c r="J92" s="15">
        <f>SUM(B92:I92)</f>
        <v>9.89</v>
      </c>
      <c r="K92" s="85">
        <v>28.257399511988773</v>
      </c>
      <c r="L92" s="24">
        <f>((J92*100)/K92)</f>
        <v>34.999682103811317</v>
      </c>
      <c r="M92" s="69">
        <v>14.9</v>
      </c>
      <c r="N92" s="24"/>
      <c r="O92" s="79">
        <v>17.899999999999999</v>
      </c>
      <c r="P92" s="81" t="s">
        <v>194</v>
      </c>
      <c r="Q92" s="70">
        <v>124.9</v>
      </c>
      <c r="R92" s="81" t="s">
        <v>144</v>
      </c>
    </row>
    <row r="93" spans="1:18" x14ac:dyDescent="0.25">
      <c r="A93" s="8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95">
        <f>AVERAGE(N90:N92)/0.92</f>
        <v>47.251137055405344</v>
      </c>
      <c r="O93" s="15">
        <f>SUM(O90:O92)</f>
        <v>156.70000000000002</v>
      </c>
      <c r="P93" s="76">
        <f>O93*0.92</f>
        <v>144.16400000000002</v>
      </c>
      <c r="Q93" s="82">
        <f>P93/Q92-1</f>
        <v>0.15423538831064865</v>
      </c>
      <c r="R93" s="69">
        <f>P93/4</f>
        <v>36.041000000000004</v>
      </c>
    </row>
    <row r="94" spans="1:18" x14ac:dyDescent="0.25">
      <c r="A94" s="99" t="s">
        <v>195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24"/>
      <c r="M94" s="15"/>
      <c r="N94" s="24"/>
      <c r="O94" s="15"/>
      <c r="P94" s="77"/>
      <c r="Q94" s="15"/>
      <c r="R94" s="94"/>
    </row>
    <row r="95" spans="1:18" x14ac:dyDescent="0.25">
      <c r="A95" s="84" t="s">
        <v>146</v>
      </c>
      <c r="B95" s="15">
        <f>(0.42*$D$8)</f>
        <v>6.6928679999999998</v>
      </c>
      <c r="C95" s="15">
        <f>$C$22</f>
        <v>1.52</v>
      </c>
      <c r="D95" s="15">
        <f>(1*$G$6)</f>
        <v>0.56000000000000005</v>
      </c>
      <c r="E95" s="15">
        <f>(0.15*$G$7)</f>
        <v>0.47849999999999998</v>
      </c>
      <c r="F95" s="15">
        <f>(0.15*$G$8)</f>
        <v>1.05</v>
      </c>
      <c r="G95" s="15">
        <f>(0.15*$D$6)</f>
        <v>2.6212500000000003</v>
      </c>
      <c r="H95" s="15">
        <f>$H$25</f>
        <v>3</v>
      </c>
      <c r="I95" s="15">
        <f>$I$22</f>
        <v>0.7</v>
      </c>
      <c r="J95" s="15">
        <f>SUM(B95:I95)</f>
        <v>16.622618000000003</v>
      </c>
      <c r="K95" s="85">
        <v>47.493547739793897</v>
      </c>
      <c r="L95" s="24">
        <f>((J95*100)/K95)</f>
        <v>34.99973952476968</v>
      </c>
      <c r="M95" s="69">
        <v>49.9</v>
      </c>
      <c r="N95" s="24">
        <f>((J95*100/O95))</f>
        <v>32.657402750491165</v>
      </c>
      <c r="O95" s="79">
        <v>50.9</v>
      </c>
      <c r="P95" s="76"/>
      <c r="Q95" s="1"/>
      <c r="R95" s="1"/>
    </row>
    <row r="96" spans="1:18" x14ac:dyDescent="0.25">
      <c r="A96" s="84" t="s">
        <v>178</v>
      </c>
      <c r="B96" s="15">
        <f>(0.25*$D$6)</f>
        <v>4.3687500000000004</v>
      </c>
      <c r="C96" s="15">
        <f>$C$25</f>
        <v>1.33</v>
      </c>
      <c r="D96" s="15"/>
      <c r="E96" s="15"/>
      <c r="F96" s="15"/>
      <c r="G96" s="15"/>
      <c r="H96" s="15">
        <f>$H$25</f>
        <v>3</v>
      </c>
      <c r="I96" s="15">
        <f>$I$22</f>
        <v>0.7</v>
      </c>
      <c r="J96" s="15">
        <f t="shared" ref="J96" si="55">SUM(B96:I96)</f>
        <v>9.3987499999999997</v>
      </c>
      <c r="K96" s="85">
        <v>26.853074685854228</v>
      </c>
      <c r="L96" s="24">
        <f t="shared" ref="L96" si="56">((J96*100)/K96)</f>
        <v>35.000647448953444</v>
      </c>
      <c r="M96" s="69">
        <v>16.899999999999999</v>
      </c>
      <c r="N96" s="24">
        <f>((J96*100/O96))</f>
        <v>37.745983935742977</v>
      </c>
      <c r="O96" s="79">
        <v>24.9</v>
      </c>
      <c r="P96" s="17"/>
      <c r="Q96" s="1"/>
      <c r="R96" s="1"/>
    </row>
    <row r="97" spans="1:18" x14ac:dyDescent="0.25">
      <c r="A97" s="84" t="s">
        <v>61</v>
      </c>
      <c r="B97" s="15">
        <f>$J$7</f>
        <v>4.05</v>
      </c>
      <c r="C97" s="15">
        <v>0.9</v>
      </c>
      <c r="D97" s="15"/>
      <c r="E97" s="15"/>
      <c r="F97" s="15"/>
      <c r="G97" s="15"/>
      <c r="H97" s="15"/>
      <c r="I97" s="15"/>
      <c r="J97" s="15">
        <f>SUM(B97:I97)</f>
        <v>4.95</v>
      </c>
      <c r="K97" s="85">
        <v>14.142795756349388</v>
      </c>
      <c r="L97" s="24">
        <f>((J97*100)/K97)</f>
        <v>35.000151916764437</v>
      </c>
      <c r="M97" s="69">
        <v>9.9</v>
      </c>
      <c r="N97" s="24"/>
      <c r="O97" s="79">
        <v>12.9</v>
      </c>
      <c r="P97" s="17"/>
      <c r="Q97" s="1"/>
      <c r="R97" s="1"/>
    </row>
    <row r="98" spans="1:18" x14ac:dyDescent="0.25">
      <c r="A98" s="84" t="s">
        <v>188</v>
      </c>
      <c r="B98" s="15">
        <f>(0.125*$G$10)</f>
        <v>2.84375</v>
      </c>
      <c r="C98" s="15">
        <v>1.65</v>
      </c>
      <c r="D98" s="15"/>
      <c r="E98" s="15"/>
      <c r="F98" s="15"/>
      <c r="G98" s="15"/>
      <c r="H98" s="15"/>
      <c r="I98" s="15">
        <f>$I$22</f>
        <v>0.7</v>
      </c>
      <c r="J98" s="15">
        <f>SUM(B98:I98)</f>
        <v>5.1937500000000005</v>
      </c>
      <c r="K98" s="89"/>
      <c r="L98" s="24"/>
      <c r="M98" s="15"/>
      <c r="N98" s="24"/>
      <c r="O98" s="79">
        <v>5.2</v>
      </c>
      <c r="P98" s="81" t="s">
        <v>194</v>
      </c>
      <c r="Q98" s="70">
        <v>76.900000000000006</v>
      </c>
      <c r="R98" s="81" t="s">
        <v>144</v>
      </c>
    </row>
    <row r="99" spans="1:18" x14ac:dyDescent="0.25">
      <c r="A99" s="8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95">
        <f>AVERAGE(N95:N98)/0.92</f>
        <v>38.262710155562033</v>
      </c>
      <c r="O99" s="15">
        <f>SUM(O95:O98)</f>
        <v>93.9</v>
      </c>
      <c r="P99" s="76">
        <f>O99*0.92</f>
        <v>86.388000000000005</v>
      </c>
      <c r="Q99" s="82">
        <f>P99/Q98-1</f>
        <v>0.12338101430429127</v>
      </c>
      <c r="R99" s="69">
        <f>P99/2</f>
        <v>43.194000000000003</v>
      </c>
    </row>
    <row r="100" spans="1:18" x14ac:dyDescent="0.25">
      <c r="A100" s="99" t="s">
        <v>198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24"/>
      <c r="M100" s="15"/>
      <c r="N100" s="24"/>
      <c r="O100" s="15"/>
      <c r="P100" s="77"/>
      <c r="Q100" s="15"/>
      <c r="R100" s="94"/>
    </row>
    <row r="101" spans="1:18" x14ac:dyDescent="0.25">
      <c r="A101" s="84" t="s">
        <v>147</v>
      </c>
      <c r="B101" s="15">
        <f>(0.9*$D$8)</f>
        <v>14.34186</v>
      </c>
      <c r="C101" s="15">
        <f>$C$23</f>
        <v>2.0499999999999998</v>
      </c>
      <c r="D101" s="15">
        <f>(2*$G$6)</f>
        <v>1.1200000000000001</v>
      </c>
      <c r="E101" s="15">
        <f>(0.3*$G$7)</f>
        <v>0.95699999999999996</v>
      </c>
      <c r="F101" s="15">
        <f>(0.25*$G$8)</f>
        <v>1.75</v>
      </c>
      <c r="G101" s="15">
        <f>(0.2*$D$6)</f>
        <v>3.4950000000000006</v>
      </c>
      <c r="H101" s="15">
        <f>(3*$H$22)</f>
        <v>9</v>
      </c>
      <c r="I101" s="15">
        <f>$I$22</f>
        <v>0.7</v>
      </c>
      <c r="J101" s="15">
        <f>SUM(B101:I101)</f>
        <v>33.413860000000007</v>
      </c>
      <c r="K101" s="85">
        <v>95.469097452836536</v>
      </c>
      <c r="L101" s="24">
        <f t="shared" ref="L101" si="57">((J101*100)/K101)</f>
        <v>34.999660509524624</v>
      </c>
      <c r="M101" s="69">
        <v>84.9</v>
      </c>
      <c r="N101" s="24">
        <f>((J101*100/O101))</f>
        <v>35.209546891464704</v>
      </c>
      <c r="O101" s="79">
        <v>94.9</v>
      </c>
      <c r="P101" s="17"/>
      <c r="Q101" s="1"/>
      <c r="R101" s="1"/>
    </row>
    <row r="102" spans="1:18" x14ac:dyDescent="0.25">
      <c r="A102" s="84" t="s">
        <v>162</v>
      </c>
      <c r="B102" s="15">
        <f>(0.25*$D$13)</f>
        <v>8.3475000000000001</v>
      </c>
      <c r="C102" s="15">
        <f>$C$25</f>
        <v>1.33</v>
      </c>
      <c r="D102" s="15">
        <f>(1*$G$6)</f>
        <v>0.56000000000000005</v>
      </c>
      <c r="E102" s="15">
        <f>(0.1*$G$7)</f>
        <v>0.31900000000000001</v>
      </c>
      <c r="F102" s="15">
        <f>(0.1*$G$8)</f>
        <v>0.70000000000000007</v>
      </c>
      <c r="G102" s="15">
        <f>(0.08*$D$6)</f>
        <v>1.3980000000000001</v>
      </c>
      <c r="H102" s="15">
        <f>$H$25</f>
        <v>3</v>
      </c>
      <c r="I102" s="15">
        <f>$I$22</f>
        <v>0.7</v>
      </c>
      <c r="J102" s="15">
        <f t="shared" ref="J102" si="58">SUM(B102:I102)</f>
        <v>16.354500000000002</v>
      </c>
      <c r="K102" s="85">
        <v>46.72823473372204</v>
      </c>
      <c r="L102" s="24">
        <f>(J102*100/K102)</f>
        <v>34.999182171539566</v>
      </c>
      <c r="M102" s="69">
        <v>39.9</v>
      </c>
      <c r="N102" s="24">
        <f>((J102*100/O102))</f>
        <v>36.424276169265042</v>
      </c>
      <c r="O102" s="79">
        <v>44.9</v>
      </c>
      <c r="P102" s="17"/>
      <c r="Q102" s="1"/>
      <c r="R102" s="1"/>
    </row>
    <row r="103" spans="1:18" x14ac:dyDescent="0.25">
      <c r="A103" s="84" t="s">
        <v>63</v>
      </c>
      <c r="B103" s="15">
        <f>$J$6</f>
        <v>8.99</v>
      </c>
      <c r="C103" s="15">
        <v>0.9</v>
      </c>
      <c r="D103" s="15"/>
      <c r="E103" s="15"/>
      <c r="F103" s="15"/>
      <c r="G103" s="15"/>
      <c r="H103" s="15"/>
      <c r="I103" s="15"/>
      <c r="J103" s="15">
        <f>SUM(B103:I103)</f>
        <v>9.89</v>
      </c>
      <c r="K103" s="85">
        <v>28.257399511988773</v>
      </c>
      <c r="L103" s="24">
        <f>((J103*100)/K103)</f>
        <v>34.999682103811317</v>
      </c>
      <c r="M103" s="69">
        <v>14.9</v>
      </c>
      <c r="N103" s="24"/>
      <c r="O103" s="79">
        <v>17.899999999999999</v>
      </c>
      <c r="P103" s="17"/>
      <c r="Q103" s="1"/>
      <c r="R103" s="1"/>
    </row>
    <row r="104" spans="1:18" x14ac:dyDescent="0.25">
      <c r="A104" s="84" t="s">
        <v>188</v>
      </c>
      <c r="B104" s="15">
        <f>(0.125*$G$10)</f>
        <v>2.84375</v>
      </c>
      <c r="C104" s="15">
        <v>1.65</v>
      </c>
      <c r="D104" s="15"/>
      <c r="E104" s="15"/>
      <c r="F104" s="15"/>
      <c r="G104" s="15"/>
      <c r="H104" s="15"/>
      <c r="I104" s="15">
        <f>$I$22</f>
        <v>0.7</v>
      </c>
      <c r="J104" s="15">
        <f>SUM(B104:I104)</f>
        <v>5.1937500000000005</v>
      </c>
      <c r="K104" s="89"/>
      <c r="L104" s="24"/>
      <c r="M104" s="15"/>
      <c r="N104" s="24"/>
      <c r="O104" s="79">
        <v>5.2</v>
      </c>
      <c r="P104" s="81" t="s">
        <v>194</v>
      </c>
      <c r="Q104" s="70">
        <v>124.9</v>
      </c>
      <c r="R104" s="81" t="s">
        <v>144</v>
      </c>
    </row>
    <row r="105" spans="1:18" x14ac:dyDescent="0.25">
      <c r="A105" s="8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95">
        <f>AVERAGE(N101:N104)/0.92</f>
        <v>38.931425576483562</v>
      </c>
      <c r="O105" s="15">
        <f>SUM(O101:O104)</f>
        <v>162.9</v>
      </c>
      <c r="P105" s="76">
        <f>O105*0.92</f>
        <v>149.86800000000002</v>
      </c>
      <c r="Q105" s="82">
        <f>P105/Q104-1</f>
        <v>0.19990392313851091</v>
      </c>
      <c r="R105" s="69">
        <f>P105/4</f>
        <v>37.467000000000006</v>
      </c>
    </row>
    <row r="106" spans="1:18" x14ac:dyDescent="0.25">
      <c r="A106" s="99" t="s">
        <v>197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24"/>
      <c r="M106" s="15"/>
      <c r="N106" s="24"/>
      <c r="O106" s="15"/>
      <c r="P106" s="77"/>
      <c r="Q106" s="15"/>
      <c r="R106" s="94"/>
    </row>
    <row r="107" spans="1:18" x14ac:dyDescent="0.25">
      <c r="A107" s="84" t="s">
        <v>147</v>
      </c>
      <c r="B107" s="15">
        <f>(0.9*$D$8)</f>
        <v>14.34186</v>
      </c>
      <c r="C107" s="15">
        <f>$C$23</f>
        <v>2.0499999999999998</v>
      </c>
      <c r="D107" s="15">
        <f>(2*$G$6)</f>
        <v>1.1200000000000001</v>
      </c>
      <c r="E107" s="15">
        <f>(0.3*$G$7)</f>
        <v>0.95699999999999996</v>
      </c>
      <c r="F107" s="15">
        <f>(0.25*$G$8)</f>
        <v>1.75</v>
      </c>
      <c r="G107" s="15">
        <f>(0.2*$D$6)</f>
        <v>3.4950000000000006</v>
      </c>
      <c r="H107" s="15">
        <f>(3*$H$22)</f>
        <v>9</v>
      </c>
      <c r="I107" s="15">
        <f>$I$22</f>
        <v>0.7</v>
      </c>
      <c r="J107" s="15">
        <f>SUM(B107:I107)</f>
        <v>33.413860000000007</v>
      </c>
      <c r="K107" s="85">
        <v>95.469097452836536</v>
      </c>
      <c r="L107" s="24">
        <f t="shared" ref="L107:L109" si="59">((J107*100)/K107)</f>
        <v>34.999660509524624</v>
      </c>
      <c r="M107" s="69">
        <v>84.9</v>
      </c>
      <c r="N107" s="24">
        <f>((J107*100/O107))</f>
        <v>35.209546891464704</v>
      </c>
      <c r="O107" s="79">
        <v>94.9</v>
      </c>
      <c r="P107" s="17"/>
      <c r="Q107" s="1"/>
      <c r="R107" s="1"/>
    </row>
    <row r="108" spans="1:18" x14ac:dyDescent="0.25">
      <c r="A108" s="84" t="s">
        <v>178</v>
      </c>
      <c r="B108" s="15">
        <f>(0.25*$D$6)</f>
        <v>4.3687500000000004</v>
      </c>
      <c r="C108" s="15">
        <f>$C$25</f>
        <v>1.33</v>
      </c>
      <c r="D108" s="15"/>
      <c r="E108" s="15"/>
      <c r="F108" s="15"/>
      <c r="G108" s="15"/>
      <c r="H108" s="15">
        <f>$H$25</f>
        <v>3</v>
      </c>
      <c r="I108" s="15">
        <f>$I$22</f>
        <v>0.7</v>
      </c>
      <c r="J108" s="15">
        <f t="shared" ref="J108:J109" si="60">SUM(B108:I108)</f>
        <v>9.3987499999999997</v>
      </c>
      <c r="K108" s="85">
        <v>26.853074685854228</v>
      </c>
      <c r="L108" s="24">
        <f t="shared" si="59"/>
        <v>35.000647448953444</v>
      </c>
      <c r="M108" s="69">
        <v>16.899999999999999</v>
      </c>
      <c r="N108" s="24">
        <f>((J108*100/O108))</f>
        <v>41.042576419213979</v>
      </c>
      <c r="O108" s="79">
        <v>22.9</v>
      </c>
      <c r="P108" s="17"/>
      <c r="Q108" s="1"/>
      <c r="R108" s="1"/>
    </row>
    <row r="109" spans="1:18" x14ac:dyDescent="0.25">
      <c r="A109" s="84" t="s">
        <v>145</v>
      </c>
      <c r="B109" s="15">
        <f>(0.25*$G$10)</f>
        <v>5.6875</v>
      </c>
      <c r="C109" s="15">
        <f>$C$25</f>
        <v>1.33</v>
      </c>
      <c r="D109" s="15"/>
      <c r="E109" s="15"/>
      <c r="F109" s="15"/>
      <c r="G109" s="15"/>
      <c r="H109" s="15"/>
      <c r="I109" s="15">
        <f>$I$22</f>
        <v>0.7</v>
      </c>
      <c r="J109" s="15">
        <f t="shared" si="60"/>
        <v>7.7175000000000002</v>
      </c>
      <c r="K109" s="85">
        <v>22.050222129668192</v>
      </c>
      <c r="L109" s="24">
        <f t="shared" si="59"/>
        <v>34.99964741677698</v>
      </c>
      <c r="M109" s="69">
        <v>24.9</v>
      </c>
      <c r="N109" s="24">
        <f>((J109*100/O109))</f>
        <v>28.689591078066915</v>
      </c>
      <c r="O109" s="79">
        <v>26.9</v>
      </c>
      <c r="P109" s="17"/>
      <c r="Q109" s="1"/>
      <c r="R109" s="1"/>
    </row>
    <row r="110" spans="1:18" x14ac:dyDescent="0.25">
      <c r="A110" s="84" t="s">
        <v>63</v>
      </c>
      <c r="B110" s="15">
        <f>$J$6</f>
        <v>8.99</v>
      </c>
      <c r="C110" s="15">
        <v>0.9</v>
      </c>
      <c r="D110" s="15"/>
      <c r="E110" s="15"/>
      <c r="F110" s="15"/>
      <c r="G110" s="15"/>
      <c r="H110" s="15"/>
      <c r="I110" s="15"/>
      <c r="J110" s="15">
        <f>SUM(B110:I110)</f>
        <v>9.89</v>
      </c>
      <c r="K110" s="85">
        <v>28.257399511988773</v>
      </c>
      <c r="L110" s="24">
        <f>((J110*100)/K110)</f>
        <v>34.999682103811317</v>
      </c>
      <c r="M110" s="69">
        <v>14.9</v>
      </c>
      <c r="N110" s="24"/>
      <c r="O110" s="79">
        <v>17.899999999999999</v>
      </c>
      <c r="P110" s="17"/>
      <c r="Q110" s="1"/>
      <c r="R110" s="1"/>
    </row>
    <row r="111" spans="1:18" x14ac:dyDescent="0.25">
      <c r="A111" s="84" t="s">
        <v>191</v>
      </c>
      <c r="B111" s="70">
        <f>(0.15*$D$18)</f>
        <v>2.9969999999999999</v>
      </c>
      <c r="C111" s="70">
        <v>1.65</v>
      </c>
      <c r="D111" s="15"/>
      <c r="E111" s="15"/>
      <c r="F111" s="15"/>
      <c r="G111" s="15"/>
      <c r="H111" s="15"/>
      <c r="I111" s="70">
        <f>$I$22</f>
        <v>0.7</v>
      </c>
      <c r="J111" s="15">
        <f>SUM(B111:I111)</f>
        <v>5.3470000000000004</v>
      </c>
      <c r="K111" s="15"/>
      <c r="L111" s="24"/>
      <c r="M111" s="69"/>
      <c r="N111" s="24"/>
      <c r="O111" s="79">
        <f>J111</f>
        <v>5.3470000000000004</v>
      </c>
      <c r="P111" s="81" t="s">
        <v>194</v>
      </c>
      <c r="Q111" s="70">
        <v>127.9</v>
      </c>
      <c r="R111" s="81" t="s">
        <v>144</v>
      </c>
    </row>
    <row r="112" spans="1:18" x14ac:dyDescent="0.25">
      <c r="A112" s="8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95">
        <f>AVERAGE(N107:N111)/0.92</f>
        <v>38.022360285777388</v>
      </c>
      <c r="O112" s="15">
        <f>SUM(O107:O111)</f>
        <v>167.94700000000003</v>
      </c>
      <c r="P112" s="76">
        <f>O112*0.92</f>
        <v>154.51124000000004</v>
      </c>
      <c r="Q112" s="82">
        <f>P112/Q111-1</f>
        <v>0.2080628616106337</v>
      </c>
      <c r="R112" s="69">
        <f>P112/4</f>
        <v>38.627810000000011</v>
      </c>
    </row>
    <row r="113" spans="1:18" x14ac:dyDescent="0.25">
      <c r="A113" s="99" t="s">
        <v>192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24"/>
      <c r="M113" s="15"/>
      <c r="N113" s="24"/>
      <c r="O113" s="15"/>
      <c r="P113" s="77"/>
      <c r="Q113" s="15"/>
      <c r="R113" s="94"/>
    </row>
    <row r="114" spans="1:18" x14ac:dyDescent="0.25">
      <c r="A114" s="84" t="s">
        <v>147</v>
      </c>
      <c r="B114" s="15">
        <f>(0.9*$D$8)</f>
        <v>14.34186</v>
      </c>
      <c r="C114" s="15">
        <f>$C$23</f>
        <v>2.0499999999999998</v>
      </c>
      <c r="D114" s="15">
        <f>(2*$G$6)</f>
        <v>1.1200000000000001</v>
      </c>
      <c r="E114" s="15">
        <f>(0.3*$G$7)</f>
        <v>0.95699999999999996</v>
      </c>
      <c r="F114" s="15">
        <f>(0.25*$G$8)</f>
        <v>1.75</v>
      </c>
      <c r="G114" s="15">
        <f>(0.2*$D$6)</f>
        <v>3.4950000000000006</v>
      </c>
      <c r="H114" s="15">
        <f>(3*$H$22)</f>
        <v>9</v>
      </c>
      <c r="I114" s="15">
        <f>$I$22</f>
        <v>0.7</v>
      </c>
      <c r="J114" s="15">
        <f>SUM(B114:I114)</f>
        <v>33.413860000000007</v>
      </c>
      <c r="K114" s="85">
        <v>95.469097452836536</v>
      </c>
      <c r="L114" s="24">
        <f t="shared" ref="L114:L115" si="61">((J114*100)/K114)</f>
        <v>34.999660509524624</v>
      </c>
      <c r="M114" s="69">
        <v>84.9</v>
      </c>
      <c r="N114" s="24">
        <f>((J114*100/O114))</f>
        <v>35.209546891464704</v>
      </c>
      <c r="O114" s="79">
        <v>94.9</v>
      </c>
      <c r="P114" s="17"/>
      <c r="Q114" s="1"/>
      <c r="R114" s="1"/>
    </row>
    <row r="115" spans="1:18" x14ac:dyDescent="0.25">
      <c r="A115" s="84" t="s">
        <v>145</v>
      </c>
      <c r="B115" s="15">
        <f>(0.25*$G$10)</f>
        <v>5.6875</v>
      </c>
      <c r="C115" s="15">
        <f>$C$25</f>
        <v>1.33</v>
      </c>
      <c r="D115" s="15"/>
      <c r="E115" s="15"/>
      <c r="F115" s="15"/>
      <c r="G115" s="15"/>
      <c r="H115" s="15"/>
      <c r="I115" s="15">
        <f>$I$22</f>
        <v>0.7</v>
      </c>
      <c r="J115" s="15">
        <f t="shared" ref="J115" si="62">SUM(B115:I115)</f>
        <v>7.7175000000000002</v>
      </c>
      <c r="K115" s="85">
        <v>22.050222129668192</v>
      </c>
      <c r="L115" s="24">
        <f t="shared" si="61"/>
        <v>34.99964741677698</v>
      </c>
      <c r="M115" s="69">
        <v>24.9</v>
      </c>
      <c r="N115" s="24">
        <f>((J115*100/O115))</f>
        <v>28.689591078066915</v>
      </c>
      <c r="O115" s="79">
        <v>26.9</v>
      </c>
      <c r="P115" s="17"/>
      <c r="Q115" s="1"/>
      <c r="R115" s="1"/>
    </row>
    <row r="116" spans="1:18" x14ac:dyDescent="0.25">
      <c r="A116" s="84" t="s">
        <v>63</v>
      </c>
      <c r="B116" s="15">
        <f>$J$6</f>
        <v>8.99</v>
      </c>
      <c r="C116" s="15">
        <v>0.9</v>
      </c>
      <c r="D116" s="15"/>
      <c r="E116" s="15"/>
      <c r="F116" s="15"/>
      <c r="G116" s="15"/>
      <c r="H116" s="15"/>
      <c r="I116" s="15"/>
      <c r="J116" s="15">
        <f>SUM(B116:I116)</f>
        <v>9.89</v>
      </c>
      <c r="K116" s="85">
        <v>28.257399511988773</v>
      </c>
      <c r="L116" s="24">
        <f>((J116*100)/K116)</f>
        <v>34.999682103811317</v>
      </c>
      <c r="M116" s="69">
        <v>14.9</v>
      </c>
      <c r="N116" s="24"/>
      <c r="O116" s="79">
        <v>17.899999999999999</v>
      </c>
      <c r="P116" s="17"/>
      <c r="Q116" s="1"/>
      <c r="R116" s="1"/>
    </row>
    <row r="117" spans="1:18" x14ac:dyDescent="0.25">
      <c r="A117" s="84" t="s">
        <v>201</v>
      </c>
      <c r="B117" s="70">
        <f>(0.15*$D$19)</f>
        <v>2.085</v>
      </c>
      <c r="C117" s="70">
        <v>1.65</v>
      </c>
      <c r="D117" s="15"/>
      <c r="E117" s="15"/>
      <c r="F117" s="15"/>
      <c r="G117" s="15"/>
      <c r="H117" s="15"/>
      <c r="I117" s="70">
        <f>$I$22</f>
        <v>0.7</v>
      </c>
      <c r="J117" s="15">
        <f>SUM(B117:I117)</f>
        <v>4.4349999999999996</v>
      </c>
      <c r="K117" s="15"/>
      <c r="L117" s="24"/>
      <c r="M117" s="69"/>
      <c r="N117" s="24"/>
      <c r="O117" s="79">
        <v>5.35</v>
      </c>
      <c r="P117" s="81" t="s">
        <v>194</v>
      </c>
      <c r="Q117" s="70">
        <v>112.9</v>
      </c>
      <c r="R117" s="81" t="s">
        <v>144</v>
      </c>
    </row>
    <row r="118" spans="1:18" x14ac:dyDescent="0.25">
      <c r="A118" s="8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95">
        <f>AVERAGE(N114:N117)/0.92</f>
        <v>34.727792374745448</v>
      </c>
      <c r="O118" s="15">
        <f>SUM(O114:O117)</f>
        <v>145.05000000000001</v>
      </c>
      <c r="P118" s="76">
        <f>O118*0.92</f>
        <v>133.44600000000003</v>
      </c>
      <c r="Q118" s="82">
        <f>P118/Q117-1</f>
        <v>0.18198405668733408</v>
      </c>
      <c r="R118" s="69">
        <f>P118/4</f>
        <v>33.361500000000007</v>
      </c>
    </row>
    <row r="119" spans="1:18" x14ac:dyDescent="0.25">
      <c r="A119" s="99" t="s">
        <v>196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24"/>
      <c r="M119" s="15"/>
      <c r="N119" s="24"/>
      <c r="O119" s="15"/>
      <c r="P119" s="77"/>
      <c r="Q119" s="15"/>
      <c r="R119" s="94"/>
    </row>
    <row r="120" spans="1:18" x14ac:dyDescent="0.25">
      <c r="A120" s="84" t="s">
        <v>148</v>
      </c>
      <c r="B120" s="15">
        <f>(1.4*$D$8)</f>
        <v>22.309559999999998</v>
      </c>
      <c r="C120" s="15">
        <f>$C$24</f>
        <v>2.6</v>
      </c>
      <c r="D120" s="15">
        <f>(3*$G$6)</f>
        <v>1.6800000000000002</v>
      </c>
      <c r="E120" s="15">
        <f>(0.45*$G$7)</f>
        <v>1.4355</v>
      </c>
      <c r="F120" s="15">
        <f>(0.45*$G$8)</f>
        <v>3.15</v>
      </c>
      <c r="G120" s="15">
        <f>(0.3*$D$6)</f>
        <v>5.2425000000000006</v>
      </c>
      <c r="H120" s="15">
        <f>(4*$H$22)</f>
        <v>12</v>
      </c>
      <c r="I120" s="15">
        <f>$I$22</f>
        <v>0.7</v>
      </c>
      <c r="J120" s="15">
        <f>SUM(B120:I120)</f>
        <v>49.117560000000005</v>
      </c>
      <c r="K120" s="85">
        <v>140.33759677856958</v>
      </c>
      <c r="L120" s="24">
        <f t="shared" ref="L120:L121" si="63">((J120*100)/K120)</f>
        <v>34.999573262965093</v>
      </c>
      <c r="M120" s="69">
        <v>99.9</v>
      </c>
      <c r="N120" s="24">
        <f>((J120*100/O120))</f>
        <v>44.692957233848951</v>
      </c>
      <c r="O120" s="79">
        <v>109.9</v>
      </c>
      <c r="P120" s="17"/>
      <c r="Q120" s="1"/>
      <c r="R120" s="1"/>
    </row>
    <row r="121" spans="1:18" x14ac:dyDescent="0.25">
      <c r="A121" s="84" t="s">
        <v>177</v>
      </c>
      <c r="B121" s="15">
        <f>(0.4*$D$6)</f>
        <v>6.9900000000000011</v>
      </c>
      <c r="C121" s="15">
        <f>$C$22</f>
        <v>1.52</v>
      </c>
      <c r="D121" s="15"/>
      <c r="E121" s="15"/>
      <c r="F121" s="15"/>
      <c r="G121" s="15"/>
      <c r="H121" s="15">
        <f>$H$22</f>
        <v>3</v>
      </c>
      <c r="I121" s="15">
        <f>$I$22</f>
        <v>0.7</v>
      </c>
      <c r="J121" s="15">
        <f t="shared" ref="J121" si="64">SUM(B121:I121)</f>
        <v>12.21</v>
      </c>
      <c r="K121" s="85">
        <v>34.885712481571879</v>
      </c>
      <c r="L121" s="24">
        <f t="shared" si="63"/>
        <v>35.000001810052879</v>
      </c>
      <c r="M121" s="69">
        <v>24.9</v>
      </c>
      <c r="N121" s="24">
        <f>((J121*100/O121))</f>
        <v>42.249134948096888</v>
      </c>
      <c r="O121" s="79">
        <v>28.9</v>
      </c>
      <c r="P121" s="17"/>
      <c r="Q121" s="1"/>
      <c r="R121" s="1"/>
    </row>
    <row r="122" spans="1:18" x14ac:dyDescent="0.25">
      <c r="A122" s="84" t="s">
        <v>63</v>
      </c>
      <c r="B122" s="15">
        <f>$J$6</f>
        <v>8.99</v>
      </c>
      <c r="C122" s="15">
        <v>0.9</v>
      </c>
      <c r="D122" s="15"/>
      <c r="E122" s="15"/>
      <c r="F122" s="15"/>
      <c r="G122" s="15"/>
      <c r="H122" s="15"/>
      <c r="I122" s="15"/>
      <c r="J122" s="15">
        <f>SUM(B122:I122)</f>
        <v>9.89</v>
      </c>
      <c r="K122" s="85">
        <v>28.257399511988773</v>
      </c>
      <c r="L122" s="24">
        <f>((J122*100)/K122)</f>
        <v>34.999682103811317</v>
      </c>
      <c r="M122" s="69">
        <v>14.9</v>
      </c>
      <c r="N122" s="24"/>
      <c r="O122" s="79">
        <v>17.899999999999999</v>
      </c>
      <c r="P122" s="17"/>
      <c r="Q122" s="1"/>
      <c r="R122" s="1"/>
    </row>
    <row r="123" spans="1:18" x14ac:dyDescent="0.25">
      <c r="A123" s="84" t="s">
        <v>188</v>
      </c>
      <c r="B123" s="15">
        <f>(0.125*$G$10)</f>
        <v>2.84375</v>
      </c>
      <c r="C123" s="15">
        <v>1.65</v>
      </c>
      <c r="D123" s="15"/>
      <c r="E123" s="15"/>
      <c r="F123" s="15"/>
      <c r="G123" s="15"/>
      <c r="H123" s="15"/>
      <c r="I123" s="15">
        <f>$I$22</f>
        <v>0.7</v>
      </c>
      <c r="J123" s="15">
        <f>SUM(B123:I123)</f>
        <v>5.1937500000000005</v>
      </c>
      <c r="K123" s="89"/>
      <c r="L123" s="24"/>
      <c r="M123" s="15"/>
      <c r="N123" s="24"/>
      <c r="O123" s="79">
        <f>J123</f>
        <v>5.1937500000000005</v>
      </c>
      <c r="P123" s="81" t="s">
        <v>194</v>
      </c>
      <c r="Q123" s="70">
        <v>124.9</v>
      </c>
      <c r="R123" s="81" t="s">
        <v>144</v>
      </c>
    </row>
    <row r="124" spans="1:18" x14ac:dyDescent="0.25">
      <c r="A124" s="8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95">
        <f>AVERAGE(N120:N123)/0.92</f>
        <v>47.251137055405344</v>
      </c>
      <c r="O124" s="15">
        <f>SUM(O120:O123)</f>
        <v>161.89375000000001</v>
      </c>
      <c r="P124" s="76">
        <f>O124*0.92</f>
        <v>148.94225000000003</v>
      </c>
      <c r="Q124" s="82">
        <f>P124/Q123-1</f>
        <v>0.19249199359487612</v>
      </c>
      <c r="R124" s="69">
        <f>P124/4</f>
        <v>37.235562500000007</v>
      </c>
    </row>
    <row r="125" spans="1:18" x14ac:dyDescent="0.25">
      <c r="A125" s="16" t="s">
        <v>199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24"/>
      <c r="M125" s="15"/>
      <c r="N125" s="24"/>
      <c r="O125" s="15"/>
      <c r="P125" s="77"/>
      <c r="Q125" s="15"/>
      <c r="R125" s="94"/>
    </row>
    <row r="126" spans="1:18" x14ac:dyDescent="0.25">
      <c r="A126" s="84" t="s">
        <v>148</v>
      </c>
      <c r="B126" s="15">
        <f>(1.4*$D$8)</f>
        <v>22.309559999999998</v>
      </c>
      <c r="C126" s="15">
        <f>$C$24</f>
        <v>2.6</v>
      </c>
      <c r="D126" s="15">
        <f>(3*$G$6)</f>
        <v>1.6800000000000002</v>
      </c>
      <c r="E126" s="15">
        <f>(0.45*$G$7)</f>
        <v>1.4355</v>
      </c>
      <c r="F126" s="15">
        <f>(0.45*$G$8)</f>
        <v>3.15</v>
      </c>
      <c r="G126" s="15">
        <f>(0.3*$D$6)</f>
        <v>5.2425000000000006</v>
      </c>
      <c r="H126" s="15">
        <f>(4*$H$22)</f>
        <v>12</v>
      </c>
      <c r="I126" s="15">
        <f>$I$22</f>
        <v>0.7</v>
      </c>
      <c r="J126" s="15">
        <f>SUM(B126:I126)</f>
        <v>49.117560000000005</v>
      </c>
      <c r="K126" s="85">
        <v>140.33759677856958</v>
      </c>
      <c r="L126" s="24">
        <f t="shared" ref="L126:L127" si="65">((J126*100)/K126)</f>
        <v>34.999573262965093</v>
      </c>
      <c r="M126" s="69">
        <v>99.9</v>
      </c>
      <c r="N126" s="24">
        <f>((J126*100/O126))</f>
        <v>44.692957233848951</v>
      </c>
      <c r="O126" s="79">
        <v>109.9</v>
      </c>
      <c r="P126" s="17"/>
      <c r="Q126" s="1"/>
      <c r="R126" s="1"/>
    </row>
    <row r="127" spans="1:18" x14ac:dyDescent="0.25">
      <c r="A127" s="84" t="s">
        <v>178</v>
      </c>
      <c r="B127" s="15">
        <f>(0.25*$D$6)</f>
        <v>4.3687500000000004</v>
      </c>
      <c r="C127" s="15">
        <f>$C$25</f>
        <v>1.33</v>
      </c>
      <c r="D127" s="15"/>
      <c r="E127" s="15"/>
      <c r="F127" s="15"/>
      <c r="G127" s="15"/>
      <c r="H127" s="15">
        <f>$H$25</f>
        <v>3</v>
      </c>
      <c r="I127" s="15">
        <f>$I$22</f>
        <v>0.7</v>
      </c>
      <c r="J127" s="15">
        <f t="shared" ref="J127:J128" si="66">SUM(B127:I127)</f>
        <v>9.3987499999999997</v>
      </c>
      <c r="K127" s="85">
        <v>26.853074685854228</v>
      </c>
      <c r="L127" s="24">
        <f t="shared" si="65"/>
        <v>35.000647448953444</v>
      </c>
      <c r="M127" s="69">
        <v>16.899999999999999</v>
      </c>
      <c r="N127" s="24">
        <f>((J127*100/O127))</f>
        <v>41.042576419213979</v>
      </c>
      <c r="O127" s="79">
        <v>22.9</v>
      </c>
      <c r="P127" s="17"/>
      <c r="Q127" s="1"/>
      <c r="R127" s="1"/>
    </row>
    <row r="128" spans="1:18" x14ac:dyDescent="0.25">
      <c r="A128" s="84" t="s">
        <v>161</v>
      </c>
      <c r="B128" s="15">
        <f>(0.42*$D$12)</f>
        <v>8.6440199999999994</v>
      </c>
      <c r="C128" s="15">
        <f>$C$22</f>
        <v>1.52</v>
      </c>
      <c r="D128" s="15">
        <f>(2*$G$6)</f>
        <v>1.1200000000000001</v>
      </c>
      <c r="E128" s="15">
        <f>(0.15*$G$7)</f>
        <v>0.47849999999999998</v>
      </c>
      <c r="F128" s="15">
        <f>(0.15*$G$8)</f>
        <v>1.05</v>
      </c>
      <c r="G128" s="15">
        <f>(0.15*$D$6)</f>
        <v>2.6212500000000003</v>
      </c>
      <c r="H128" s="15">
        <f>$H$22</f>
        <v>3</v>
      </c>
      <c r="I128" s="15">
        <f>$I$22</f>
        <v>0.7</v>
      </c>
      <c r="J128" s="15">
        <f t="shared" si="66"/>
        <v>19.133769999999998</v>
      </c>
      <c r="K128" s="85">
        <v>54.667974600374642</v>
      </c>
      <c r="L128" s="24">
        <f>(J128*100/K128)</f>
        <v>34.999961384830371</v>
      </c>
      <c r="M128" s="69">
        <v>59.9</v>
      </c>
      <c r="N128" s="24">
        <f>((J128*100/O128))</f>
        <v>29.48192604006163</v>
      </c>
      <c r="O128" s="79">
        <v>64.900000000000006</v>
      </c>
      <c r="P128" s="17"/>
      <c r="Q128" s="1"/>
      <c r="R128" s="1"/>
    </row>
    <row r="129" spans="1:18" x14ac:dyDescent="0.25">
      <c r="A129" s="84" t="s">
        <v>63</v>
      </c>
      <c r="B129" s="15">
        <f>$J$6</f>
        <v>8.99</v>
      </c>
      <c r="C129" s="15">
        <v>0.9</v>
      </c>
      <c r="D129" s="15"/>
      <c r="E129" s="15"/>
      <c r="F129" s="15"/>
      <c r="G129" s="15"/>
      <c r="H129" s="15"/>
      <c r="I129" s="15"/>
      <c r="J129" s="15">
        <f>SUM(B129:I129)</f>
        <v>9.89</v>
      </c>
      <c r="K129" s="85">
        <v>28.257399511988773</v>
      </c>
      <c r="L129" s="24">
        <f>((J129*100)/K129)</f>
        <v>34.999682103811317</v>
      </c>
      <c r="M129" s="69">
        <v>14.9</v>
      </c>
      <c r="N129" s="24"/>
      <c r="O129" s="79">
        <v>17.899999999999999</v>
      </c>
      <c r="P129" s="17"/>
      <c r="Q129" s="1"/>
      <c r="R129" s="1"/>
    </row>
    <row r="130" spans="1:18" x14ac:dyDescent="0.25">
      <c r="A130" s="84" t="s">
        <v>188</v>
      </c>
      <c r="B130" s="15">
        <f>(0.125*$G$10)</f>
        <v>2.84375</v>
      </c>
      <c r="C130" s="15">
        <v>1.65</v>
      </c>
      <c r="D130" s="15"/>
      <c r="E130" s="15"/>
      <c r="F130" s="15"/>
      <c r="G130" s="15"/>
      <c r="H130" s="15"/>
      <c r="I130" s="15">
        <f>$I$22</f>
        <v>0.7</v>
      </c>
      <c r="J130" s="15">
        <f>SUM(B130:I130)</f>
        <v>5.1937500000000005</v>
      </c>
      <c r="K130" s="89"/>
      <c r="L130" s="24"/>
      <c r="M130" s="15"/>
      <c r="N130" s="24"/>
      <c r="O130" s="79">
        <f>J130</f>
        <v>5.1937500000000005</v>
      </c>
      <c r="P130" s="81" t="s">
        <v>194</v>
      </c>
      <c r="Q130" s="70">
        <v>169.9</v>
      </c>
      <c r="R130" s="81" t="s">
        <v>144</v>
      </c>
    </row>
    <row r="131" spans="1:1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95">
        <f>AVERAGE(N126:N130)/0.92</f>
        <v>41.745456410552379</v>
      </c>
      <c r="O131" s="15">
        <f>SUM(O126:O130)</f>
        <v>220.79375000000002</v>
      </c>
      <c r="P131" s="76">
        <f>O131*0.92</f>
        <v>203.13025000000002</v>
      </c>
      <c r="Q131" s="82">
        <f>P131/Q130-1</f>
        <v>0.19558711006474394</v>
      </c>
      <c r="R131" s="69">
        <f>P131/6</f>
        <v>33.855041666666672</v>
      </c>
    </row>
  </sheetData>
  <autoFilter ref="A21:A77" xr:uid="{5DFB7DB0-8AB5-4CA4-8AD6-B9CD898A7814}"/>
  <mergeCells count="2">
    <mergeCell ref="I10:I11"/>
    <mergeCell ref="A1:Q3"/>
  </mergeCells>
  <pageMargins left="0.511811024" right="0.511811024" top="0.78740157499999996" bottom="0.78740157499999996" header="0.31496062000000002" footer="0.31496062000000002"/>
  <pageSetup paperSize="256" orientation="portrait" horizontalDpi="203" verticalDpi="203" r:id="rId1"/>
  <ignoredErrors>
    <ignoredError sqref="N73 L102 L12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2FAA-0376-491D-9488-CB51C13E77AF}">
  <sheetPr codeName="Planilha3"/>
  <dimension ref="A1:L8"/>
  <sheetViews>
    <sheetView workbookViewId="0">
      <selection activeCell="T16" sqref="T16"/>
    </sheetView>
  </sheetViews>
  <sheetFormatPr defaultRowHeight="15.75" x14ac:dyDescent="0.25"/>
  <cols>
    <col min="11" max="11" width="9.25" bestFit="1" customWidth="1"/>
    <col min="12" max="12" width="12.75" bestFit="1" customWidth="1"/>
  </cols>
  <sheetData>
    <row r="1" spans="1:12" x14ac:dyDescent="0.25">
      <c r="A1" s="71"/>
      <c r="B1" s="72" t="s">
        <v>133</v>
      </c>
      <c r="C1" s="72" t="s">
        <v>134</v>
      </c>
      <c r="D1" s="72" t="s">
        <v>135</v>
      </c>
      <c r="E1" s="72" t="s">
        <v>136</v>
      </c>
      <c r="F1" s="72" t="s">
        <v>137</v>
      </c>
      <c r="G1" s="72" t="s">
        <v>138</v>
      </c>
      <c r="H1" s="1"/>
      <c r="I1" s="1"/>
      <c r="J1" s="1"/>
      <c r="K1" s="1"/>
      <c r="L1" s="1"/>
    </row>
    <row r="2" spans="1:12" x14ac:dyDescent="0.25">
      <c r="A2" s="72" t="s">
        <v>132</v>
      </c>
      <c r="B2" s="1">
        <f>2+5</f>
        <v>7</v>
      </c>
      <c r="C2" s="1">
        <v>0</v>
      </c>
      <c r="D2" s="1">
        <v>3</v>
      </c>
      <c r="E2" s="1">
        <v>0</v>
      </c>
      <c r="F2" s="1">
        <v>0</v>
      </c>
      <c r="G2" s="1">
        <v>0</v>
      </c>
      <c r="H2" s="1">
        <f>SUM(B2:G2)</f>
        <v>10</v>
      </c>
      <c r="I2" s="24">
        <v>0.25</v>
      </c>
      <c r="J2" s="24">
        <f>I2*H2</f>
        <v>2.5</v>
      </c>
      <c r="K2" s="70">
        <v>36.9</v>
      </c>
      <c r="L2" s="70">
        <f>H2*K2</f>
        <v>369</v>
      </c>
    </row>
    <row r="3" spans="1:12" x14ac:dyDescent="0.25">
      <c r="A3" s="72" t="s">
        <v>45</v>
      </c>
      <c r="B3" s="1">
        <v>14</v>
      </c>
      <c r="C3" s="1">
        <v>7</v>
      </c>
      <c r="D3" s="1">
        <v>6</v>
      </c>
      <c r="E3" s="1">
        <v>24</v>
      </c>
      <c r="F3" s="1">
        <f>22+9</f>
        <v>31</v>
      </c>
      <c r="G3" s="1">
        <f>22+7+1</f>
        <v>30</v>
      </c>
      <c r="H3" s="1">
        <f t="shared" ref="H3:H5" si="0">SUM(B3:G3)</f>
        <v>112</v>
      </c>
      <c r="I3" s="24">
        <v>0.42</v>
      </c>
      <c r="J3" s="24">
        <f t="shared" ref="J3:J5" si="1">I3*H3</f>
        <v>47.04</v>
      </c>
      <c r="K3" s="70">
        <v>49.9</v>
      </c>
      <c r="L3" s="70">
        <f t="shared" ref="L3:L5" si="2">H3*K3</f>
        <v>5588.8</v>
      </c>
    </row>
    <row r="4" spans="1:12" x14ac:dyDescent="0.25">
      <c r="A4" s="72" t="s">
        <v>46</v>
      </c>
      <c r="B4" s="1">
        <v>0</v>
      </c>
      <c r="C4" s="1">
        <f>6+4</f>
        <v>10</v>
      </c>
      <c r="D4" s="1">
        <f>8+2</f>
        <v>10</v>
      </c>
      <c r="E4" s="1">
        <f>9+6</f>
        <v>15</v>
      </c>
      <c r="F4" s="1">
        <v>8</v>
      </c>
      <c r="G4" s="1">
        <f>7+5</f>
        <v>12</v>
      </c>
      <c r="H4" s="1">
        <f t="shared" si="0"/>
        <v>55</v>
      </c>
      <c r="I4" s="24">
        <v>0.9</v>
      </c>
      <c r="J4" s="24">
        <f t="shared" si="1"/>
        <v>49.5</v>
      </c>
      <c r="K4" s="70">
        <v>84.9</v>
      </c>
      <c r="L4" s="70">
        <f t="shared" si="2"/>
        <v>4669.5</v>
      </c>
    </row>
    <row r="5" spans="1:12" x14ac:dyDescent="0.25">
      <c r="A5" s="72" t="s">
        <v>47</v>
      </c>
      <c r="B5" s="1">
        <v>5</v>
      </c>
      <c r="C5" s="1"/>
      <c r="D5" s="1">
        <v>10</v>
      </c>
      <c r="E5" s="1">
        <v>11</v>
      </c>
      <c r="F5" s="1">
        <f>18+11</f>
        <v>29</v>
      </c>
      <c r="G5" s="1">
        <v>8</v>
      </c>
      <c r="H5" s="1">
        <f t="shared" si="0"/>
        <v>63</v>
      </c>
      <c r="I5" s="24">
        <v>1.4</v>
      </c>
      <c r="J5" s="24">
        <f t="shared" si="1"/>
        <v>88.199999999999989</v>
      </c>
      <c r="K5" s="70">
        <v>99.9</v>
      </c>
      <c r="L5" s="70">
        <f t="shared" si="2"/>
        <v>6293.7000000000007</v>
      </c>
    </row>
    <row r="6" spans="1:12" x14ac:dyDescent="0.25">
      <c r="A6" s="71"/>
      <c r="B6" s="1"/>
      <c r="C6" s="1"/>
      <c r="D6" s="1"/>
      <c r="E6" s="1"/>
      <c r="F6" s="1"/>
      <c r="G6" s="1"/>
      <c r="H6" s="1"/>
      <c r="I6" s="1"/>
      <c r="J6" s="24">
        <f>SUM(J2:J5)</f>
        <v>187.23999999999998</v>
      </c>
      <c r="K6" s="1"/>
      <c r="L6" s="70">
        <f>SUM(L2:L5)</f>
        <v>16921</v>
      </c>
    </row>
    <row r="7" spans="1:12" x14ac:dyDescent="0.25">
      <c r="A7" s="71"/>
      <c r="B7" s="1"/>
      <c r="C7" s="1"/>
      <c r="D7" s="1"/>
      <c r="E7" s="1"/>
      <c r="F7" s="1"/>
      <c r="G7" s="1"/>
      <c r="H7" s="1"/>
      <c r="I7" s="1"/>
      <c r="J7" s="24">
        <f>J6/20</f>
        <v>9.3619999999999983</v>
      </c>
      <c r="K7" s="1"/>
      <c r="L7" s="70">
        <v>22289.49</v>
      </c>
    </row>
    <row r="8" spans="1:12" x14ac:dyDescent="0.25">
      <c r="A8" s="71"/>
      <c r="B8" s="1"/>
      <c r="C8" s="1"/>
      <c r="D8" s="1"/>
      <c r="E8" s="1"/>
      <c r="F8" s="1"/>
      <c r="G8" s="1"/>
      <c r="H8" s="1"/>
      <c r="I8" s="1"/>
      <c r="J8" s="1"/>
      <c r="K8" s="1"/>
      <c r="L8" s="35">
        <f>L7-L6</f>
        <v>5368.4900000000016</v>
      </c>
    </row>
  </sheetData>
  <pageMargins left="0.511811024" right="0.511811024" top="0.78740157499999996" bottom="0.78740157499999996" header="0.31496062000000002" footer="0.31496062000000002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CVM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Cortelini</dc:creator>
  <cp:lastModifiedBy>FNP</cp:lastModifiedBy>
  <dcterms:created xsi:type="dcterms:W3CDTF">2021-11-02T19:03:04Z</dcterms:created>
  <dcterms:modified xsi:type="dcterms:W3CDTF">2026-02-11T21:26:46Z</dcterms:modified>
</cp:coreProperties>
</file>